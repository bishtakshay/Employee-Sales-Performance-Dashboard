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https://bvpedu-my.sharepoint.com/personal/akshay_bisht-coend_bvp_edu_in/Documents/"/>
    </mc:Choice>
  </mc:AlternateContent>
  <xr:revisionPtr revIDLastSave="1459" documentId="8_{D43E871D-52A1-4DF4-BF0A-C022C553AB55}" xr6:coauthVersionLast="47" xr6:coauthVersionMax="47" xr10:uidLastSave="{E784A917-E4CA-8A4E-8C47-AE9011D6B766}"/>
  <bookViews>
    <workbookView xWindow="0" yWindow="500" windowWidth="28800" windowHeight="15980" xr2:uid="{81D512C5-DFD0-45A9-BA7A-3679803E1A90}"/>
  </bookViews>
  <sheets>
    <sheet name="RAW DATA" sheetId="1" r:id="rId1"/>
    <sheet name="DASHBOARD" sheetId="2" r:id="rId2"/>
  </sheets>
  <definedNames>
    <definedName name="_xleta.DAY" hidden="1" xlm="1">#NAME?</definedName>
    <definedName name="_xleta.SUM" hidden="1" xlm="1">#NAME?</definedName>
    <definedName name="Slicer_Region">#N/A</definedName>
  </definedNames>
  <calcPr calcId="191028"/>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2" l="1"/>
  <c r="L21" i="2"/>
  <c r="L11" i="2"/>
  <c r="L16" i="2"/>
  <c r="J8" i="2"/>
  <c r="J9" i="2"/>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<sst xmlns="http://schemas.openxmlformats.org/spreadsheetml/2006/main" count="462" uniqueCount="314">
  <si>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</si>
  <si>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</si>
  <si>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</si>
  <si>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</si>
  <si>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</si>
  <si>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</si>
  <si>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</si>
  <si>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</si>
  <si>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</si>
  <si>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</si>
  <si>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</si>
  <si>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</si>
  <si>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</si>
  <si>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</si>
  <si>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</si>
  <si>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</si>
  <si>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</si>
  <si>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</si>
  <si>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</si>
  <si>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</si>
  <si>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</si>
  <si>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</si>
  <si>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</si>
  <si>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</si>
  <si>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</si>
  <si>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</si>
  <si>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</si>
  <si>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</si>
  <si>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</si>
  <si>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</si>
  <si>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</si>
  <si>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</si>
  <si>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</si>
  <si>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</si>
  <si>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</si>
  <si>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</si>
  <si>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</si>
  <si>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</si>
  <si>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</si>
  <si>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</si>
  <si>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</si>
  <si>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</si>
  <si>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</si>
  <si>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</si>
  <si>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</si>
  <si>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</si>
  <si>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</si>
  <si>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</si>
  <si>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</si>
  <si>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</si>
  <si>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</si>
  <si>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</si>
  <si>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</si>
  <si>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</si>
  <si>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</si>
  <si>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</si>
  <si>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</si>
  <si>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</si>
  <si>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</si>
  <si>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</si>
  <si>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</si>
  <si>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</si>
  <si>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</si>
  <si>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</si>
  <si>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</si>
  <si>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</si>
  <si>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</si>
  <si>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</si>
  <si>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</si>
  <si>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</si>
  <si>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</si>
  <si>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</si>
  <si>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</si>
  <si>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</si>
  <si>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</si>
  <si>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</si>
  <si>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</si>
  <si>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</si>
  <si>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</si>
  <si>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</si>
  <si>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</si>
  <si>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</si>
  <si>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</si>
  <si>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</si>
  <si>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</si>
  <si>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</si>
  <si>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</si>
  <si>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</si>
  <si>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</si>
  <si>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</si>
  <si>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</si>
  <si>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</si>
  <si>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</si>
  <si>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</si>
  <si>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</si>
  <si>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</si>
  <si>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</si>
  <si>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</si>
  <si>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</si>
  <si>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</si>
  <si>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</si>
  <si>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</si>
  <si>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</si>
  <si>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</si>
  <si>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</si>
  <si>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</si>
  <si>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</si>
  <si>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</si>
  <si>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</si>
  <si>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</si>
  <si>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</si>
  <si>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</si>
  <si>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</si>
  <si>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</si>
  <si>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</si>
  <si>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</si>
  <si>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</si>
  <si>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</si>
  <si>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</si>
  <si>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</si>
  <si>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</si>
  <si>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</si>
  <si>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</si>
  <si>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</si>
  <si>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</si>
  <si>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</si>
  <si>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</si>
  <si>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</si>
  <si>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</si>
  <si>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</si>
  <si>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</si>
  <si>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</si>
  <si>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</si>
  <si>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</si>
  <si>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</si>
  <si>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</si>
  <si>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</si>
  <si>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</si>
  <si>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</si>
  <si>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</si>
  <si>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</si>
  <si>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</si>
  <si>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</si>
  <si>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</si>
  <si>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</si>
  <si>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</si>
  <si>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</si>
  <si>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</si>
  <si>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</si>
  <si>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</si>
  <si>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</si>
  <si>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</si>
  <si>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</si>
  <si>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</si>
  <si>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</si>
  <si>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</si>
  <si>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</si>
  <si>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</si>
  <si>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</si>
  <si>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</si>
  <si>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</si>
  <si>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</si>
  <si>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</si>
  <si>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</si>
  <si>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</si>
  <si>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</si>
  <si>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</si>
  <si>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</si>
  <si>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</si>
  <si>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</si>
  <si>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</si>
  <si>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</si>
  <si>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</si>
  <si>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</si>
  <si>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</si>
  <si>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</si>
  <si>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</si>
  <si>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</si>
  <si>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</si>
  <si>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</si>
  <si>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</si>
  <si>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</si>
  <si>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</si>
  <si>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</si>
  <si>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</si>
  <si>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</si>
  <si>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</si>
  <si>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</si>
  <si>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</si>
  <si>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</si>
  <si>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</si>
  <si>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</si>
  <si>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</si>
  <si>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</si>
  <si>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</si>
  <si>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</si>
  <si>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</si>
  <si>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</si>
  <si>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</si>
  <si>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</si>
  <si>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</si>
  <si>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</si>
  <si>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</si>
  <si>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</si>
  <si>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</si>
  <si>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</si>
  <si>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</si>
  <si>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</si>
  <si>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</si>
  <si>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</si>
  <si>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</si>
  <si>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</si>
  <si>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</si>
  <si>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</si>
  <si>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</si>
  <si>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</si>
  <si>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</si>
  <si>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</si>
  <si>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</si>
  <si>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</si>
  <si>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</si>
  <si>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</si>
  <si>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</si>
  <si>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</si>
  <si>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</si>
  <si>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</si>
  <si>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</si>
  <si>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</si>
  <si>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</si>
  <si>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</si>
  <si>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</si>
  <si>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</si>
  <si>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</si>
  <si>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</si>
  <si>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</si>
  <si>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</si>
  <si>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</si>
  <si>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</si>
  <si>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</si>
  <si>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</si>
  <si>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</si>
  <si>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</si>
  <si>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</si>
  <si>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</si>
  <si>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</si>
  <si>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</si>
  <si>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</si>
  <si>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</si>
  <si>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</si>
  <si>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</si>
  <si>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</si>
  <si>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</si>
  <si>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</si>
  <si>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</si>
  <si>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</si>
  <si>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</si>
  <si>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</si>
  <si>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</si>
  <si>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</si>
  <si>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</si>
  <si>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</si>
  <si>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</si>
  <si>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</si>
  <si>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</si>
  <si>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</si>
  <si>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</si>
  <si>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</si>
  <si>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</si>
  <si>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</si>
  <si>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</si>
  <si>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</si>
  <si>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</si>
  <si>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</si>
  <si>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</si>
  <si>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</si>
  <si>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</si>
  <si>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</si>
  <si>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</si>
  <si>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</si>
  <si>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</si>
  <si>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</si>
  <si>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</si>
  <si>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</si>
  <si>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</si>
  <si>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</si>
  <si>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</si>
  <si>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</si>
  <si>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</si>
  <si>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</si>
  <si>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</si>
  <si>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</si>
  <si>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</si>
  <si>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</si>
  <si>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</si>
  <si>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</si>
  <si>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</si>
  <si>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</si>
  <si>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</si>
  <si>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</si>
  <si>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</si>
  <si>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</si>
  <si>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</si>
  <si>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</si>
  <si>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SALES EMPLOYEE PERFORMANCE REPORT</t>
  </si>
  <si>
    <t xml:space="preserve">Target Hit % </t>
  </si>
  <si>
    <t xml:space="preserve">Away From Target % </t>
  </si>
  <si>
    <t>Target Sales</t>
  </si>
  <si>
    <t>Total Sales Achieved</t>
  </si>
  <si>
    <t xml:space="preserve">Total Sales Achieved </t>
  </si>
  <si>
    <t>Remaining Target</t>
  </si>
  <si>
    <t>Count of Sales Executive</t>
  </si>
  <si>
    <t>TOTAL EMPLOYEES</t>
  </si>
  <si>
    <t>EMPLOYEES EFFICIENCY</t>
  </si>
  <si>
    <t>BEST EMPLOYEE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</si>
</sst>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3"/>
      <color rgb="FF000000"/>
      <name val="Lucida Grande"/>
      <family val="2"/>
    </font>
    <font>
      <sz val="11"/>
      <color theme="1" tint="4.9989318521683403E-2"/>
      <name val="Calibri"/>
      <family val="2"/>
      <scheme val="minor"/>
    </font>
    <font>
      <b/>
      <sz val="36"/>
      <color theme="4" tint="-0.249977111117893"/>
      <name val="Times New Roman"/>
      <family val="1"/>
    </font>
    <font>
      <sz val="12"/>
      <color theme="1" tint="4.9989318521683403E-2"/>
      <name val="Calibri"/>
      <family val="2"/>
      <scheme val="minor"/>
    </font>
    <font>
      <b/>
      <sz val="11"/>
      <color theme="1" tint="4.9989318521683403E-2"/>
      <name val="Calibri"/>
      <family val="2"/>
      <scheme val="minor"/>
    </font>
    <font>
      <sz val="11"/>
      <color theme="4" tint="-0.249977111117893"/>
      <name val="Calibri"/>
      <family val="2"/>
      <scheme val="minor"/>
    </font>
    <font>
      <sz val="18"/>
      <color theme="0"/>
      <name val="Times New Roman Bold"/>
    </font>
    <font>
      <sz val="18"/>
      <color theme="0"/>
      <name val="Calibri"/>
      <family val="2"/>
      <scheme val="minor"/>
    </font>
    <font>
      <sz val="20"/>
      <color rgb="FFFFC000"/>
      <name val="Times New Roman Bold"/>
    </font>
    <font>
      <sz val="18"/>
      <color theme="7"/>
      <name val="Times New Roman Bold"/>
    </font>
  </fonts>
  <fills count="9">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4"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B0F0"/>
      </left>
      <right/>
      <top style="medium">
        <color rgb="FF00B0F0"/>
      </top>
      <bottom/>
      <diagonal/>
    </border>
    <border>
      <left/>
      <right style="medium">
        <color rgb="FF00B0F0"/>
      </right>
      <top style="medium">
        <color rgb="FF00B0F0"/>
      </top>
      <bottom/>
      <diagonal/>
    </border>
    <border>
      <left style="medium">
        <color rgb="FF00B0F0"/>
      </left>
      <right/>
      <top/>
      <bottom style="medium">
        <color rgb="FF00B0F0"/>
      </bottom>
      <diagonal/>
    </border>
    <border>
      <left/>
      <right style="medium">
        <color rgb="FF00B0F0"/>
      </right>
      <top/>
      <bottom style="medium">
        <color rgb="FF00B0F0"/>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00B0F0"/>
      </left>
      <right/>
      <top/>
      <bottom/>
      <diagonal/>
    </border>
    <border>
      <left/>
      <right style="medium">
        <color rgb="FF00B0F0"/>
      </right>
      <top/>
      <bottom/>
      <diagonal/>
    </border>
  </borders>
  <cellStyleXfs count="2">
    <xf numFmtId="0" fontId="0" fillId="0" borderId="0"/>
    <xf numFmtId="9" fontId="1" fillId="0" borderId="0" applyFont="0" applyFill="0" applyBorder="0" applyAlignment="0" applyProtection="0"/>
  </cellStyleXfs>
  <cellXfs count="60">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10" fontId="0" fillId="5" borderId="0" xfId="0" applyNumberFormat="1" applyFill="1" applyAlignment="1">
      <alignment horizontal="center"/>
    </xf>
    <xf numFmtId="0" fontId="0" fillId="5" borderId="2" xfId="0" applyFill="1" applyBorder="1" applyAlignment="1">
      <alignment horizontal="center"/>
    </xf>
    <xf numFmtId="0" fontId="8" fillId="7" borderId="0" xfId="0" applyFont="1" applyFill="1" applyAlignment="1">
      <alignment horizontal="center"/>
    </xf>
    <xf numFmtId="10" fontId="0" fillId="5" borderId="2" xfId="0" applyNumberFormat="1" applyFill="1" applyBorder="1" applyAlignment="1">
      <alignment horizontal="center"/>
    </xf>
    <xf numFmtId="0" fontId="8" fillId="6" borderId="2" xfId="0" applyFont="1" applyFill="1" applyBorder="1" applyAlignment="1">
      <alignment horizontal="center"/>
    </xf>
    <xf numFmtId="0" fontId="6" fillId="6" borderId="0" xfId="0" applyFont="1" applyFill="1" applyAlignment="1">
      <alignment horizontal="center"/>
    </xf>
    <xf numFmtId="0" fontId="8" fillId="6" borderId="0" xfId="0" applyFont="1" applyFill="1" applyAlignment="1">
      <alignment horizontal="center"/>
    </xf>
    <xf numFmtId="0" fontId="0" fillId="5" borderId="0" xfId="0" applyFill="1"/>
    <xf numFmtId="0" fontId="0" fillId="5" borderId="0" xfId="0" applyNumberFormat="1" applyFill="1" applyAlignment="1">
      <alignment horizontal="center"/>
    </xf>
    <xf numFmtId="0" fontId="0" fillId="5" borderId="0" xfId="0" applyFill="1" applyBorder="1"/>
    <xf numFmtId="0" fontId="0" fillId="5" borderId="0" xfId="0" applyNumberFormat="1" applyFill="1" applyBorder="1" applyAlignment="1">
      <alignment horizontal="center"/>
    </xf>
    <xf numFmtId="10" fontId="0" fillId="5" borderId="0" xfId="0" applyNumberFormat="1" applyFill="1" applyBorder="1" applyAlignment="1">
      <alignment horizontal="center"/>
    </xf>
    <xf numFmtId="0" fontId="0" fillId="5" borderId="2" xfId="0" applyFill="1" applyBorder="1"/>
    <xf numFmtId="0" fontId="0" fillId="5" borderId="2" xfId="0" applyNumberFormat="1" applyFill="1" applyBorder="1" applyAlignment="1">
      <alignment horizontal="center"/>
    </xf>
    <xf numFmtId="0" fontId="6" fillId="6" borderId="0" xfId="0" applyFont="1" applyFill="1" applyBorder="1" applyAlignment="1">
      <alignment horizontal="center"/>
    </xf>
    <xf numFmtId="0" fontId="0" fillId="5" borderId="0" xfId="0" applyFill="1" applyBorder="1" applyAlignment="1">
      <alignment horizontal="center"/>
    </xf>
    <xf numFmtId="0" fontId="6" fillId="6" borderId="0" xfId="0" applyFont="1" applyFill="1" applyAlignment="1">
      <alignment horizontal="center" vertical="center"/>
    </xf>
    <xf numFmtId="14" fontId="3" fillId="3" borderId="11" xfId="0" applyNumberFormat="1" applyFont="1" applyFill="1" applyBorder="1" applyAlignment="1">
      <alignment horizontal="center" vertical="center"/>
    </xf>
    <xf numFmtId="10" fontId="4" fillId="3" borderId="12" xfId="0" applyNumberFormat="1" applyFont="1" applyFill="1" applyBorder="1" applyAlignment="1">
      <alignment horizontal="center" vertical="center"/>
    </xf>
    <xf numFmtId="0" fontId="2" fillId="2" borderId="6"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5" xfId="0" applyFont="1" applyFill="1" applyBorder="1" applyAlignment="1">
      <alignment horizontal="center" vertical="center"/>
    </xf>
    <xf numFmtId="14" fontId="3" fillId="3" borderId="4" xfId="0" applyNumberFormat="1" applyFont="1" applyFill="1" applyBorder="1" applyAlignment="1">
      <alignment horizontal="center" vertical="center"/>
    </xf>
    <xf numFmtId="0" fontId="0" fillId="3" borderId="14" xfId="0" applyFill="1" applyBorder="1"/>
    <xf numFmtId="0" fontId="3" fillId="3" borderId="14" xfId="0" applyFont="1" applyFill="1" applyBorder="1" applyAlignment="1">
      <alignment horizontal="center" vertical="center"/>
    </xf>
    <xf numFmtId="0" fontId="4" fillId="3" borderId="14" xfId="0" applyFont="1" applyFill="1" applyBorder="1" applyAlignment="1">
      <alignment horizontal="center" vertical="center"/>
    </xf>
    <xf numFmtId="10" fontId="4" fillId="3" borderId="14" xfId="1" applyNumberFormat="1" applyFont="1" applyFill="1" applyBorder="1" applyAlignment="1">
      <alignment horizontal="center" vertical="center"/>
    </xf>
    <xf numFmtId="10" fontId="4" fillId="3" borderId="3" xfId="0" applyNumberFormat="1" applyFont="1" applyFill="1" applyBorder="1" applyAlignment="1">
      <alignment horizontal="center" vertical="center"/>
    </xf>
    <xf numFmtId="0" fontId="13" fillId="4" borderId="15"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9" xfId="0" applyFont="1" applyFill="1" applyBorder="1" applyAlignment="1">
      <alignment horizontal="center" vertical="center"/>
    </xf>
    <xf numFmtId="0" fontId="13" fillId="4" borderId="10" xfId="0" applyFont="1" applyFill="1" applyBorder="1" applyAlignment="1">
      <alignment horizontal="center" vertical="center"/>
    </xf>
    <xf numFmtId="0" fontId="11" fillId="8" borderId="7" xfId="0" applyFont="1" applyFill="1" applyBorder="1" applyAlignment="1">
      <alignment horizontal="center" vertical="center"/>
    </xf>
    <xf numFmtId="0" fontId="12" fillId="8" borderId="8" xfId="0" applyFont="1" applyFill="1" applyBorder="1" applyAlignment="1">
      <alignment horizontal="center" vertical="center"/>
    </xf>
    <xf numFmtId="0" fontId="12" fillId="8" borderId="15" xfId="0" applyFont="1" applyFill="1" applyBorder="1" applyAlignment="1">
      <alignment horizontal="center" vertical="center"/>
    </xf>
    <xf numFmtId="0" fontId="12" fillId="8" borderId="16" xfId="0" applyFont="1" applyFill="1" applyBorder="1" applyAlignment="1">
      <alignment horizontal="center" vertical="center"/>
    </xf>
    <xf numFmtId="0" fontId="0" fillId="5" borderId="0" xfId="0" applyFill="1" applyAlignment="1">
      <alignment horizontal="center" vertical="center"/>
    </xf>
    <xf numFmtId="0" fontId="7" fillId="6" borderId="0" xfId="0" applyFont="1" applyFill="1" applyBorder="1" applyAlignment="1">
      <alignment horizontal="center" vertical="center"/>
    </xf>
    <xf numFmtId="0" fontId="0" fillId="4" borderId="0" xfId="0" applyFill="1" applyBorder="1"/>
    <xf numFmtId="0" fontId="7" fillId="4" borderId="0" xfId="0" applyFont="1" applyFill="1" applyBorder="1" applyAlignment="1">
      <alignment horizontal="center" vertical="center"/>
    </xf>
    <xf numFmtId="0" fontId="6" fillId="4" borderId="0" xfId="0" applyFont="1" applyFill="1" applyBorder="1" applyAlignment="1">
      <alignment horizontal="center"/>
    </xf>
    <xf numFmtId="10" fontId="0" fillId="4" borderId="0" xfId="0" applyNumberFormat="1" applyFill="1" applyBorder="1" applyAlignment="1">
      <alignment horizontal="center"/>
    </xf>
    <xf numFmtId="0" fontId="10" fillId="4" borderId="0" xfId="0" applyFont="1" applyFill="1" applyBorder="1"/>
    <xf numFmtId="0" fontId="12" fillId="8" borderId="9" xfId="0" applyFont="1" applyFill="1" applyBorder="1" applyAlignment="1">
      <alignment horizontal="center" vertical="center"/>
    </xf>
    <xf numFmtId="0" fontId="12" fillId="8" borderId="10" xfId="0" applyFont="1" applyFill="1" applyBorder="1" applyAlignment="1">
      <alignment horizontal="center" vertical="center"/>
    </xf>
    <xf numFmtId="0" fontId="14" fillId="4" borderId="7" xfId="0" applyFont="1" applyFill="1" applyBorder="1" applyAlignment="1">
      <alignment horizontal="center" vertical="center"/>
    </xf>
    <xf numFmtId="0" fontId="14" fillId="4" borderId="8" xfId="0" applyFont="1" applyFill="1" applyBorder="1" applyAlignment="1">
      <alignment horizontal="center" vertical="center"/>
    </xf>
    <xf numFmtId="0" fontId="14" fillId="4" borderId="15" xfId="0" applyFont="1" applyFill="1" applyBorder="1" applyAlignment="1">
      <alignment horizontal="center" vertical="center"/>
    </xf>
    <xf numFmtId="0" fontId="14" fillId="4" borderId="16" xfId="0" applyFont="1" applyFill="1" applyBorder="1" applyAlignment="1">
      <alignment horizontal="center" vertical="center"/>
    </xf>
    <xf numFmtId="0" fontId="14" fillId="4" borderId="15" xfId="0" applyFont="1" applyFill="1" applyBorder="1" applyAlignment="1">
      <alignment horizontal="center" vertical="top"/>
    </xf>
    <xf numFmtId="0" fontId="14" fillId="4" borderId="16" xfId="0" applyFont="1" applyFill="1" applyBorder="1" applyAlignment="1">
      <alignment horizontal="center" vertical="top"/>
    </xf>
    <xf numFmtId="0" fontId="14" fillId="4" borderId="9" xfId="0" applyFont="1" applyFill="1" applyBorder="1" applyAlignment="1">
      <alignment horizontal="center" vertical="top"/>
    </xf>
    <xf numFmtId="0" fontId="14" fillId="4" borderId="10" xfId="0" applyFont="1" applyFill="1" applyBorder="1" applyAlignment="1">
      <alignment horizontal="center" vertical="top"/>
    </xf>
    <xf numFmtId="0" fontId="9" fillId="5" borderId="0" xfId="0" applyNumberFormat="1" applyFont="1" applyFill="1" applyAlignment="1">
      <alignment horizontal="center"/>
    </xf>
  </cellXfs>
  <cellStyles count="2">
    <cellStyle name="Normal" xfId="0" builtinId="0"/>
    <cellStyle name="Per cent" xfId="1" builtinId="5"/>
  </cellStyles>
  <dxfs count="908">
    <dxf>
      <font>
        <b/>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alignment horizontal="center"/>
    </dxf>
    <dxf>
      <alignment vertic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alignment vertical="center"/>
    </dxf>
    <dxf>
      <alignment horizontal="center"/>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ont>
        <color theme="1" tint="4.9989318521683403E-2"/>
      </font>
    </dxf>
    <dxf>
      <font>
        <color theme="1" tint="4.9989318521683403E-2"/>
      </font>
    </dxf>
    <dxf>
      <font>
        <color theme="1" tint="4.9989318521683403E-2"/>
      </font>
    </dxf>
    <dxf>
      <font>
        <color theme="1" tint="4.9989318521683403E-2"/>
      </font>
    </dxf>
    <dxf>
      <alignment horizontal="center"/>
    </dxf>
    <dxf>
      <alignment vertical="center"/>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tint="4.9989318521683403E-2"/>
      </font>
    </dxf>
    <dxf>
      <font>
        <color theme="1" tint="4.9989318521683403E-2"/>
      </font>
    </dxf>
    <dxf>
      <alignment horizontal="center"/>
    </dxf>
    <dxf>
      <alignment horizontal="center"/>
    </dxf>
    <dxf>
      <alignment horizontal="center"/>
    </dxf>
    <dxf>
      <alignment horizontal="center"/>
    </dxf>
    <dxf>
      <font>
        <sz val="12"/>
      </font>
    </dxf>
    <dxf>
      <font>
        <sz val="12"/>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ill>
        <patternFill>
          <bgColor theme="7" tint="0.59999389629810485"/>
        </patternFill>
      </fill>
    </dxf>
    <dxf>
      <fill>
        <patternFill>
          <bgColor theme="7" tint="0.59999389629810485"/>
        </patternFill>
      </fill>
    </dxf>
    <dxf>
      <fill>
        <patternFill patternType="solid">
          <bgColor theme="0"/>
        </patternFill>
      </fill>
    </dxf>
    <dxf>
      <fill>
        <patternFill patternType="solid">
          <bgColor theme="0"/>
        </patternFill>
      </fill>
    </dxf>
    <dxf>
      <alignment horizontal="center"/>
    </dxf>
    <dxf>
      <font>
        <color theme="1" tint="4.9989318521683403E-2"/>
      </font>
    </dxf>
    <dxf>
      <alignment horizontal="center"/>
    </dxf>
    <dxf>
      <alignment horizontal="center"/>
    </dxf>
    <dxf>
      <fill>
        <patternFill>
          <bgColor theme="7" tint="0.39997558519241921"/>
        </patternFill>
      </fill>
    </dxf>
    <dxf>
      <fill>
        <patternFill>
          <bgColor theme="7" tint="0.39997558519241921"/>
        </patternFill>
      </fill>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rgb="FF000000"/>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907"/>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1"/>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i="0">
                <a:latin typeface="Times New Roman" panose="02020603050405020304" pitchFamily="18" charset="0"/>
                <a:cs typeface="Times New Roman" panose="02020603050405020304" pitchFamily="18" charset="0"/>
              </a:rPr>
              <a:t>Top 5 Performers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DASHBOARD!$B$5</c:f>
              <c:strCache>
                <c:ptCount val="1"/>
                <c:pt idx="0">
                  <c:v>Total Sales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P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DASHBOARD!$A$6:$A$10</c:f>
              <c:strCache>
                <c:ptCount val="5"/>
                <c:pt idx="0">
                  <c:v>Jagdish Chandra</c:v>
                </c:pt>
                <c:pt idx="1">
                  <c:v>Rachita Anupam</c:v>
                </c:pt>
                <c:pt idx="2">
                  <c:v>Nandu Kumar</c:v>
                </c:pt>
                <c:pt idx="3">
                  <c:v>Daleep Singh</c:v>
                </c:pt>
                <c:pt idx="4">
                  <c:v>Anita Dixit</c:v>
                </c:pt>
              </c:strCache>
            </c:strRef>
          </c:cat>
          <c:val>
            <c:numRef>
              <c:f>DASHBOARD!$B$6:$B$10</c:f>
              <c:numCache>
                <c:formatCode>General</c:formatCode>
                <c:ptCount val="5"/>
                <c:pt idx="0">
                  <c:v>389</c:v>
                </c:pt>
                <c:pt idx="1">
                  <c:v>385</c:v>
                </c:pt>
                <c:pt idx="2">
                  <c:v>317</c:v>
                </c:pt>
                <c:pt idx="3">
                  <c:v>316</c:v>
                </c:pt>
                <c:pt idx="4">
                  <c:v>316</c:v>
                </c:pt>
              </c:numCache>
            </c:numRef>
          </c:val>
          <c:extLst>
            <c:ext xmlns:c16="http://schemas.microsoft.com/office/drawing/2014/chart" uri="{C3380CC4-5D6E-409C-BE32-E72D297353CC}">
              <c16:uniqueId val="{00000001-F694-45F9-AF54-75BAB8D45299}"/>
            </c:ext>
          </c:extLst>
        </c:ser>
        <c:ser>
          <c:idx val="1"/>
          <c:order val="1"/>
          <c:tx>
            <c:strRef>
              <c:f>DASHBOARD!$C$5</c:f>
              <c:strCache>
                <c:ptCount val="1"/>
                <c:pt idx="0">
                  <c:v>Target Hit %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DASHBOARD!$A$6:$A$10</c:f>
              <c:strCache>
                <c:ptCount val="5"/>
                <c:pt idx="0">
                  <c:v>Jagdish Chandra</c:v>
                </c:pt>
                <c:pt idx="1">
                  <c:v>Rachita Anupam</c:v>
                </c:pt>
                <c:pt idx="2">
                  <c:v>Nandu Kumar</c:v>
                </c:pt>
                <c:pt idx="3">
                  <c:v>Daleep Singh</c:v>
                </c:pt>
                <c:pt idx="4">
                  <c:v>Anita Dixit</c:v>
                </c:pt>
              </c:strCache>
            </c:strRef>
          </c:cat>
          <c:val>
            <c:numRef>
              <c:f>DASHBOARD!$C$6:$C$10</c:f>
              <c:numCache>
                <c:formatCode>0.00%</c:formatCode>
                <c:ptCount val="5"/>
                <c:pt idx="0">
                  <c:v>0.77800000000000002</c:v>
                </c:pt>
                <c:pt idx="1">
                  <c:v>0.77</c:v>
                </c:pt>
                <c:pt idx="2">
                  <c:v>0.63400000000000001</c:v>
                </c:pt>
                <c:pt idx="3">
                  <c:v>0.63200000000000001</c:v>
                </c:pt>
                <c:pt idx="4">
                  <c:v>0.63200000000000001</c:v>
                </c:pt>
              </c:numCache>
            </c:numRef>
          </c:val>
          <c:extLst>
            <c:ext xmlns:c16="http://schemas.microsoft.com/office/drawing/2014/chart" uri="{C3380CC4-5D6E-409C-BE32-E72D297353CC}">
              <c16:uniqueId val="{00000002-89BE-DF49-B2E4-704988C90B7D}"/>
            </c:ext>
          </c:extLst>
        </c:ser>
        <c:dLbls>
          <c:showLegendKey val="0"/>
          <c:showVal val="0"/>
          <c:showCatName val="0"/>
          <c:showSerName val="0"/>
          <c:showPercent val="0"/>
          <c:showBubbleSize val="0"/>
        </c:dLbls>
        <c:gapWidth val="150"/>
        <c:overlap val="100"/>
        <c:axId val="1043543559"/>
        <c:axId val="1043546631"/>
      </c:barChart>
      <c:catAx>
        <c:axId val="1043543559"/>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3546631"/>
        <c:crosses val="autoZero"/>
        <c:auto val="1"/>
        <c:lblAlgn val="ctr"/>
        <c:lblOffset val="100"/>
        <c:noMultiLvlLbl val="0"/>
      </c:catAx>
      <c:valAx>
        <c:axId val="1043546631"/>
        <c:scaling>
          <c:orientation val="minMax"/>
        </c:scaling>
        <c:delete val="1"/>
        <c:axPos val="b"/>
        <c:numFmt formatCode="General" sourceLinked="1"/>
        <c:majorTickMark val="none"/>
        <c:minorTickMark val="none"/>
        <c:tickLblPos val="nextTo"/>
        <c:crossAx val="104354355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PK"/>
        </a:p>
      </c:txPr>
    </c:title>
    <c:autoTitleDeleted val="0"/>
    <c:plotArea>
      <c:layout/>
      <c:pieChart>
        <c:varyColors val="1"/>
        <c:ser>
          <c:idx val="0"/>
          <c:order val="0"/>
          <c:tx>
            <c:v>Sales Achieved</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3525-B548-A4FF-62D0418DC09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3525-B548-A4FF-62D0418DC09A}"/>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FF00"/>
                      </a:solidFill>
                      <a:latin typeface="Times New Roman" panose="02020603050405020304" pitchFamily="18" charset="0"/>
                      <a:ea typeface="+mn-ea"/>
                      <a:cs typeface="Times New Roman" panose="02020603050405020304" pitchFamily="18" charset="0"/>
                    </a:defRPr>
                  </a:pPr>
                  <a:endParaRPr lang="en-PK"/>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525-B548-A4FF-62D0418DC09A}"/>
                </c:ext>
              </c:extLst>
            </c:dLbl>
            <c:dLbl>
              <c:idx val="1"/>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FF00"/>
                      </a:solidFill>
                      <a:latin typeface="Times New Roman" panose="02020603050405020304" pitchFamily="18" charset="0"/>
                      <a:ea typeface="+mn-ea"/>
                      <a:cs typeface="Times New Roman" panose="02020603050405020304" pitchFamily="18" charset="0"/>
                    </a:defRPr>
                  </a:pPr>
                  <a:endParaRPr lang="en-PK"/>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525-B548-A4FF-62D0418DC09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00"/>
                    </a:solidFill>
                    <a:latin typeface="Times New Roman" panose="02020603050405020304" pitchFamily="18" charset="0"/>
                    <a:ea typeface="+mn-ea"/>
                    <a:cs typeface="Times New Roman" panose="02020603050405020304" pitchFamily="18" charset="0"/>
                  </a:defRPr>
                </a:pPr>
                <a:endParaRPr lang="en-PK"/>
              </a:p>
            </c:txPr>
            <c:dLblPos val="ct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DASHBOARD!$I$8:$I$9</c:f>
              <c:strCache>
                <c:ptCount val="2"/>
                <c:pt idx="0">
                  <c:v>Total Sales Achieved </c:v>
                </c:pt>
                <c:pt idx="1">
                  <c:v>Remaining Target</c:v>
                </c:pt>
              </c:strCache>
            </c:strRef>
          </c:cat>
          <c:val>
            <c:numRef>
              <c:f>DASHBOARD!$J$8:$J$9</c:f>
              <c:numCache>
                <c:formatCode>General</c:formatCode>
                <c:ptCount val="2"/>
                <c:pt idx="0">
                  <c:v>4512</c:v>
                </c:pt>
                <c:pt idx="1">
                  <c:v>3988</c:v>
                </c:pt>
              </c:numCache>
            </c:numRef>
          </c:val>
          <c:extLst>
            <c:ext xmlns:c16="http://schemas.microsoft.com/office/drawing/2014/chart" uri="{C3380CC4-5D6E-409C-BE32-E72D297353CC}">
              <c16:uniqueId val="{00000000-3525-B548-A4FF-62D0418DC09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PK"/>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PK"/>
        </a:p>
      </c:txPr>
    </c:title>
    <c:autoTitleDeleted val="0"/>
    <c:plotArea>
      <c:layout/>
      <c:barChart>
        <c:barDir val="bar"/>
        <c:grouping val="clustered"/>
        <c:varyColors val="0"/>
        <c:ser>
          <c:idx val="0"/>
          <c:order val="0"/>
          <c:tx>
            <c:v>Bottom 5 Performers</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FFF00"/>
                    </a:solidFill>
                    <a:latin typeface="Times New Roman" panose="02020603050405020304" pitchFamily="18" charset="0"/>
                    <a:ea typeface="+mn-ea"/>
                    <a:cs typeface="Times New Roman" panose="02020603050405020304" pitchFamily="18" charset="0"/>
                  </a:defRPr>
                </a:pPr>
                <a:endParaRPr lang="en-P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DASHBOARD!$E$6:$E$10</c:f>
              <c:strCache>
                <c:ptCount val="5"/>
                <c:pt idx="0">
                  <c:v>Arun Kumar</c:v>
                </c:pt>
                <c:pt idx="1">
                  <c:v>Owais Mohd</c:v>
                </c:pt>
                <c:pt idx="2">
                  <c:v>Rajesh Kumar</c:v>
                </c:pt>
                <c:pt idx="3">
                  <c:v>Sheena Joseph</c:v>
                </c:pt>
                <c:pt idx="4">
                  <c:v>Sudhir Kumar</c:v>
                </c:pt>
              </c:strCache>
            </c:strRef>
          </c:cat>
          <c:val>
            <c:numRef>
              <c:f>DASHBOARD!$F$6:$F$10</c:f>
              <c:numCache>
                <c:formatCode>General</c:formatCode>
                <c:ptCount val="5"/>
                <c:pt idx="0">
                  <c:v>183</c:v>
                </c:pt>
                <c:pt idx="1">
                  <c:v>208</c:v>
                </c:pt>
                <c:pt idx="2">
                  <c:v>192</c:v>
                </c:pt>
                <c:pt idx="3">
                  <c:v>183</c:v>
                </c:pt>
                <c:pt idx="4">
                  <c:v>199</c:v>
                </c:pt>
              </c:numCache>
            </c:numRef>
          </c:val>
          <c:extLst>
            <c:ext xmlns:c16="http://schemas.microsoft.com/office/drawing/2014/chart" uri="{C3380CC4-5D6E-409C-BE32-E72D297353CC}">
              <c16:uniqueId val="{00000000-0599-3A4B-A4F3-6C8F7D014603}"/>
            </c:ext>
          </c:extLst>
        </c:ser>
        <c:dLbls>
          <c:showLegendKey val="0"/>
          <c:showVal val="0"/>
          <c:showCatName val="0"/>
          <c:showSerName val="0"/>
          <c:showPercent val="0"/>
          <c:showBubbleSize val="0"/>
        </c:dLbls>
        <c:gapWidth val="115"/>
        <c:overlap val="-20"/>
        <c:axId val="1702394256"/>
        <c:axId val="93926047"/>
      </c:barChart>
      <c:catAx>
        <c:axId val="170239425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PK"/>
          </a:p>
        </c:txPr>
        <c:crossAx val="93926047"/>
        <c:crosses val="autoZero"/>
        <c:auto val="1"/>
        <c:lblAlgn val="ctr"/>
        <c:lblOffset val="100"/>
        <c:noMultiLvlLbl val="0"/>
      </c:catAx>
      <c:valAx>
        <c:axId val="93926047"/>
        <c:scaling>
          <c:orientation val="minMax"/>
        </c:scaling>
        <c:delete val="1"/>
        <c:axPos val="b"/>
        <c:numFmt formatCode="General" sourceLinked="1"/>
        <c:majorTickMark val="none"/>
        <c:minorTickMark val="none"/>
        <c:tickLblPos val="nextTo"/>
        <c:crossAx val="1702394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P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checked="Checked" fmlaLink="$E$3" lockText="1" noThreeD="1"/>
</file>

<file path=xl/ctrlProps/ctrlProp3.xml><?xml version="1.0" encoding="utf-8"?>
<formControlPr xmlns="http://schemas.microsoft.com/office/spreadsheetml/2009/9/main" objectType="CheckBox" checked="Checked" fmlaLink="$I$3" lockText="1" noThreeD="1"/>
</file>

<file path=xl/ctrlProps/ctrlProp4.xml><?xml version="1.0" encoding="utf-8"?>
<formControlPr xmlns="http://schemas.microsoft.com/office/spreadsheetml/2009/9/main" objectType="CheckBox" checked="Checked" fmlaLink="$L$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10</xdr:row>
      <xdr:rowOff>63499</xdr:rowOff>
    </xdr:from>
    <xdr:to>
      <xdr:col>2</xdr:col>
      <xdr:colOff>807357</xdr:colOff>
      <xdr:row>24</xdr:row>
      <xdr:rowOff>136071</xdr:rowOff>
    </xdr:to>
    <xdr:graphicFrame macro="">
      <xdr:nvGraphicFramePr>
        <xdr:cNvPr id="3" name="Chart 2">
          <a:extLst>
            <a:ext uri="{FF2B5EF4-FFF2-40B4-BE49-F238E27FC236}">
              <a16:creationId xmlns:a16="http://schemas.microsoft.com/office/drawing/2014/main" id="{4FEDC9D3-399F-8050-7078-BFB3844D90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9071</xdr:colOff>
      <xdr:row>1</xdr:row>
      <xdr:rowOff>35776</xdr:rowOff>
    </xdr:from>
    <xdr:to>
      <xdr:col>12</xdr:col>
      <xdr:colOff>1069799</xdr:colOff>
      <xdr:row>2</xdr:row>
      <xdr:rowOff>9711</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812F6C3B-34D8-A499-D5AD-53D7A11DFC9B}"/>
                </a:ext>
                <a:ext uri="{147F2762-F138-4A5C-976F-8EAC2B608ADB}">
                  <a16:predDERef xmlns:a16="http://schemas.microsoft.com/office/drawing/2014/main" pred="{306C4A42-CEB6-8749-07D0-FC4F5B6AECC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9071" y="607276"/>
              <a:ext cx="12546239" cy="55450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401053</xdr:colOff>
      <xdr:row>3</xdr:row>
      <xdr:rowOff>19098</xdr:rowOff>
    </xdr:from>
    <xdr:to>
      <xdr:col>1</xdr:col>
      <xdr:colOff>515639</xdr:colOff>
      <xdr:row>3</xdr:row>
      <xdr:rowOff>353309</xdr:rowOff>
    </xdr:to>
    <xdr:sp macro="" textlink="">
      <xdr:nvSpPr>
        <xdr:cNvPr id="8" name="Rounded Rectangular Callout 7">
          <a:extLst>
            <a:ext uri="{FF2B5EF4-FFF2-40B4-BE49-F238E27FC236}">
              <a16:creationId xmlns:a16="http://schemas.microsoft.com/office/drawing/2014/main" id="{C48886A7-D584-AF12-21B3-13E96A4C2D23}"/>
            </a:ext>
          </a:extLst>
        </xdr:cNvPr>
        <xdr:cNvSpPr/>
      </xdr:nvSpPr>
      <xdr:spPr>
        <a:xfrm>
          <a:off x="401053" y="515639"/>
          <a:ext cx="1852481" cy="334211"/>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mc:AlternateContent xmlns:mc="http://schemas.openxmlformats.org/markup-compatibility/2006">
    <mc:Choice xmlns:a14="http://schemas.microsoft.com/office/drawing/2010/main" Requires="a14">
      <xdr:twoCellAnchor editAs="oneCell">
        <xdr:from>
          <xdr:col>0</xdr:col>
          <xdr:colOff>584200</xdr:colOff>
          <xdr:row>3</xdr:row>
          <xdr:rowOff>88900</xdr:rowOff>
        </xdr:from>
        <xdr:to>
          <xdr:col>1</xdr:col>
          <xdr:colOff>660400</xdr:colOff>
          <xdr:row>3</xdr:row>
          <xdr:rowOff>292100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Table 1</a:t>
              </a:r>
            </a:p>
          </xdr:txBody>
        </xdr:sp>
        <xdr:clientData/>
      </xdr:twoCellAnchor>
    </mc:Choice>
    <mc:Fallback/>
  </mc:AlternateContent>
  <xdr:twoCellAnchor>
    <xdr:from>
      <xdr:col>4</xdr:col>
      <xdr:colOff>400671</xdr:colOff>
      <xdr:row>3</xdr:row>
      <xdr:rowOff>27214</xdr:rowOff>
    </xdr:from>
    <xdr:to>
      <xdr:col>5</xdr:col>
      <xdr:colOff>517072</xdr:colOff>
      <xdr:row>3</xdr:row>
      <xdr:rowOff>362476</xdr:rowOff>
    </xdr:to>
    <xdr:sp macro="" textlink="">
      <xdr:nvSpPr>
        <xdr:cNvPr id="10" name="Rounded Rectangular Callout 9">
          <a:extLst>
            <a:ext uri="{FF2B5EF4-FFF2-40B4-BE49-F238E27FC236}">
              <a16:creationId xmlns:a16="http://schemas.microsoft.com/office/drawing/2014/main" id="{49DAF9A5-0925-6349-A7E9-C6A462DC3AE7}"/>
            </a:ext>
          </a:extLst>
        </xdr:cNvPr>
        <xdr:cNvSpPr/>
      </xdr:nvSpPr>
      <xdr:spPr>
        <a:xfrm>
          <a:off x="3067671" y="526143"/>
          <a:ext cx="1921615" cy="335262"/>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mc:AlternateContent xmlns:mc="http://schemas.openxmlformats.org/markup-compatibility/2006">
    <mc:Choice xmlns:a14="http://schemas.microsoft.com/office/drawing/2010/main" Requires="a14">
      <xdr:twoCellAnchor editAs="oneCell">
        <xdr:from>
          <xdr:col>4</xdr:col>
          <xdr:colOff>584200</xdr:colOff>
          <xdr:row>3</xdr:row>
          <xdr:rowOff>101600</xdr:rowOff>
        </xdr:from>
        <xdr:to>
          <xdr:col>5</xdr:col>
          <xdr:colOff>711200</xdr:colOff>
          <xdr:row>3</xdr:row>
          <xdr:rowOff>292100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Table 2</a:t>
              </a:r>
            </a:p>
          </xdr:txBody>
        </xdr:sp>
        <xdr:clientData/>
      </xdr:twoCellAnchor>
    </mc:Choice>
    <mc:Fallback/>
  </mc:AlternateContent>
  <xdr:twoCellAnchor>
    <xdr:from>
      <xdr:col>8</xdr:col>
      <xdr:colOff>734500</xdr:colOff>
      <xdr:row>3</xdr:row>
      <xdr:rowOff>27883</xdr:rowOff>
    </xdr:from>
    <xdr:to>
      <xdr:col>9</xdr:col>
      <xdr:colOff>1011417</xdr:colOff>
      <xdr:row>3</xdr:row>
      <xdr:rowOff>362094</xdr:rowOff>
    </xdr:to>
    <xdr:sp macro="" textlink="">
      <xdr:nvSpPr>
        <xdr:cNvPr id="11" name="Rounded Rectangular Callout 10">
          <a:extLst>
            <a:ext uri="{FF2B5EF4-FFF2-40B4-BE49-F238E27FC236}">
              <a16:creationId xmlns:a16="http://schemas.microsoft.com/office/drawing/2014/main" id="{6C22B327-9214-1645-99E9-A69EB8A1A6FD}"/>
            </a:ext>
          </a:extLst>
        </xdr:cNvPr>
        <xdr:cNvSpPr/>
      </xdr:nvSpPr>
      <xdr:spPr>
        <a:xfrm>
          <a:off x="6100966" y="524424"/>
          <a:ext cx="1852481" cy="334211"/>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mc:AlternateContent xmlns:mc="http://schemas.openxmlformats.org/markup-compatibility/2006">
    <mc:Choice xmlns:a14="http://schemas.microsoft.com/office/drawing/2010/main" Requires="a14">
      <xdr:twoCellAnchor editAs="oneCell">
        <xdr:from>
          <xdr:col>8</xdr:col>
          <xdr:colOff>914400</xdr:colOff>
          <xdr:row>3</xdr:row>
          <xdr:rowOff>101600</xdr:rowOff>
        </xdr:from>
        <xdr:to>
          <xdr:col>9</xdr:col>
          <xdr:colOff>863600</xdr:colOff>
          <xdr:row>3</xdr:row>
          <xdr:rowOff>292100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Table 3</a:t>
              </a:r>
            </a:p>
          </xdr:txBody>
        </xdr:sp>
        <xdr:clientData/>
      </xdr:twoCellAnchor>
    </mc:Choice>
    <mc:Fallback/>
  </mc:AlternateContent>
  <xdr:twoCellAnchor>
    <xdr:from>
      <xdr:col>11</xdr:col>
      <xdr:colOff>896449</xdr:colOff>
      <xdr:row>3</xdr:row>
      <xdr:rowOff>27501</xdr:rowOff>
    </xdr:from>
    <xdr:to>
      <xdr:col>12</xdr:col>
      <xdr:colOff>953742</xdr:colOff>
      <xdr:row>3</xdr:row>
      <xdr:rowOff>361712</xdr:rowOff>
    </xdr:to>
    <xdr:sp macro="" textlink="">
      <xdr:nvSpPr>
        <xdr:cNvPr id="12" name="Rounded Rectangular Callout 11">
          <a:extLst>
            <a:ext uri="{FF2B5EF4-FFF2-40B4-BE49-F238E27FC236}">
              <a16:creationId xmlns:a16="http://schemas.microsoft.com/office/drawing/2014/main" id="{B20707D5-A270-7A4F-A9AB-4CF544B623B0}"/>
            </a:ext>
          </a:extLst>
        </xdr:cNvPr>
        <xdr:cNvSpPr/>
      </xdr:nvSpPr>
      <xdr:spPr>
        <a:xfrm>
          <a:off x="9757802" y="524042"/>
          <a:ext cx="1852481" cy="334211"/>
        </a:xfrm>
        <a:prstGeom prst="wedgeRoundRectCallout">
          <a:avLst/>
        </a:prstGeom>
        <a:solidFill>
          <a:srgbClr val="FFC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kern="1200"/>
        </a:p>
      </xdr:txBody>
    </xdr:sp>
    <xdr:clientData/>
  </xdr:twoCellAnchor>
  <mc:AlternateContent xmlns:mc="http://schemas.openxmlformats.org/markup-compatibility/2006">
    <mc:Choice xmlns:a14="http://schemas.microsoft.com/office/drawing/2010/main" Requires="a14">
      <xdr:twoCellAnchor editAs="oneCell">
        <xdr:from>
          <xdr:col>11</xdr:col>
          <xdr:colOff>1079500</xdr:colOff>
          <xdr:row>3</xdr:row>
          <xdr:rowOff>101600</xdr:rowOff>
        </xdr:from>
        <xdr:to>
          <xdr:col>12</xdr:col>
          <xdr:colOff>1198160</xdr:colOff>
          <xdr:row>3</xdr:row>
          <xdr:rowOff>292100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Table 4</a:t>
              </a:r>
            </a:p>
          </xdr:txBody>
        </xdr:sp>
        <xdr:clientData/>
      </xdr:twoCellAnchor>
    </mc:Choice>
    <mc:Fallback/>
  </mc:AlternateContent>
  <xdr:twoCellAnchor>
    <xdr:from>
      <xdr:col>8</xdr:col>
      <xdr:colOff>0</xdr:colOff>
      <xdr:row>6</xdr:row>
      <xdr:rowOff>61684</xdr:rowOff>
    </xdr:from>
    <xdr:to>
      <xdr:col>10</xdr:col>
      <xdr:colOff>1814</xdr:colOff>
      <xdr:row>24</xdr:row>
      <xdr:rowOff>190499</xdr:rowOff>
    </xdr:to>
    <xdr:graphicFrame macro="">
      <xdr:nvGraphicFramePr>
        <xdr:cNvPr id="4" name="Chart 3">
          <a:extLst>
            <a:ext uri="{FF2B5EF4-FFF2-40B4-BE49-F238E27FC236}">
              <a16:creationId xmlns:a16="http://schemas.microsoft.com/office/drawing/2014/main" id="{C1066AE3-9E3A-F88C-87A1-4C656DE42C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59710</xdr:colOff>
      <xdr:row>10</xdr:row>
      <xdr:rowOff>59520</xdr:rowOff>
    </xdr:from>
    <xdr:to>
      <xdr:col>6</xdr:col>
      <xdr:colOff>1288956</xdr:colOff>
      <xdr:row>24</xdr:row>
      <xdr:rowOff>161120</xdr:rowOff>
    </xdr:to>
    <xdr:graphicFrame macro="">
      <xdr:nvGraphicFramePr>
        <xdr:cNvPr id="7" name="Chart 6">
          <a:extLst>
            <a:ext uri="{FF2B5EF4-FFF2-40B4-BE49-F238E27FC236}">
              <a16:creationId xmlns:a16="http://schemas.microsoft.com/office/drawing/2014/main" id="{4B31A095-24DD-18F1-58CE-3C2881C297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35.697212037034" createdVersion="8" refreshedVersion="8" minRefreshableVersion="3" recordCount="141" xr:uid="{183CC970-613A-4701-AA58-F3A09CAFAF3C}">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457815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x v="0"/>
    <n v="500"/>
    <x v="0"/>
    <n v="0.32199999999999995"/>
  </r>
  <r>
    <s v="Mum-TCL002"/>
    <x v="1"/>
    <x v="1"/>
    <n v="44"/>
    <n v="85"/>
    <n v="47"/>
    <n v="15"/>
    <n v="48"/>
    <x v="1"/>
    <n v="500"/>
    <x v="1"/>
    <n v="0.52200000000000002"/>
  </r>
  <r>
    <s v="Mum-TCL003"/>
    <x v="2"/>
    <x v="2"/>
    <n v="45"/>
    <n v="79"/>
    <n v="88"/>
    <n v="73"/>
    <n v="94"/>
    <x v="2"/>
    <n v="500"/>
    <x v="2"/>
    <n v="0.24199999999999999"/>
  </r>
  <r>
    <s v="Mum-TCL004"/>
    <x v="3"/>
    <x v="3"/>
    <n v="52"/>
    <n v="99"/>
    <n v="13"/>
    <n v="95"/>
    <n v="29"/>
    <x v="3"/>
    <n v="500"/>
    <x v="3"/>
    <n v="0.42400000000000004"/>
  </r>
  <r>
    <s v="Mum-TCL005"/>
    <x v="4"/>
    <x v="4"/>
    <n v="35"/>
    <n v="54"/>
    <n v="49"/>
    <n v="26"/>
    <n v="49"/>
    <x v="4"/>
    <n v="500"/>
    <x v="4"/>
    <n v="0.57400000000000007"/>
  </r>
  <r>
    <s v="Mum-TCL006"/>
    <x v="5"/>
    <x v="5"/>
    <n v="86"/>
    <n v="31"/>
    <n v="23"/>
    <n v="48"/>
    <n v="77"/>
    <x v="5"/>
    <n v="500"/>
    <x v="5"/>
    <n v="0.47"/>
  </r>
  <r>
    <s v="Mum-TCL007"/>
    <x v="6"/>
    <x v="6"/>
    <n v="84"/>
    <n v="28"/>
    <n v="98"/>
    <n v="80"/>
    <n v="79"/>
    <x v="6"/>
    <n v="500"/>
    <x v="6"/>
    <n v="0.26200000000000001"/>
  </r>
  <r>
    <s v="Mum-TCL008"/>
    <x v="7"/>
    <x v="7"/>
    <n v="73"/>
    <n v="97"/>
    <n v="38"/>
    <n v="24"/>
    <n v="53"/>
    <x v="7"/>
    <n v="500"/>
    <x v="7"/>
    <n v="0.43000000000000005"/>
  </r>
  <r>
    <s v="Mum-TCL009"/>
    <x v="8"/>
    <x v="0"/>
    <n v="54"/>
    <n v="26"/>
    <n v="53"/>
    <n v="36"/>
    <n v="20"/>
    <x v="8"/>
    <n v="500"/>
    <x v="8"/>
    <n v="0.622"/>
  </r>
  <r>
    <s v="Mum-TCL010"/>
    <x v="9"/>
    <x v="1"/>
    <n v="52"/>
    <n v="52"/>
    <n v="19"/>
    <n v="53"/>
    <n v="37"/>
    <x v="4"/>
    <n v="500"/>
    <x v="4"/>
    <n v="0.57400000000000007"/>
  </r>
  <r>
    <s v="Mum-TCL011"/>
    <x v="10"/>
    <x v="2"/>
    <n v="63"/>
    <n v="17"/>
    <n v="40"/>
    <n v="48"/>
    <n v="51"/>
    <x v="9"/>
    <n v="500"/>
    <x v="9"/>
    <n v="0.56200000000000006"/>
  </r>
  <r>
    <s v="Mum-TCL012"/>
    <x v="11"/>
    <x v="3"/>
    <n v="79"/>
    <n v="99"/>
    <n v="95"/>
    <n v="12"/>
    <n v="91"/>
    <x v="10"/>
    <n v="500"/>
    <x v="10"/>
    <n v="0.248"/>
  </r>
  <r>
    <s v="Mum-TCL013"/>
    <x v="12"/>
    <x v="4"/>
    <n v="95"/>
    <n v="88"/>
    <n v="11"/>
    <n v="78"/>
    <n v="60"/>
    <x v="11"/>
    <n v="500"/>
    <x v="11"/>
    <n v="0.33599999999999997"/>
  </r>
  <r>
    <s v="Mum-TCL014"/>
    <x v="13"/>
    <x v="5"/>
    <n v="83"/>
    <n v="77"/>
    <n v="66"/>
    <n v="22"/>
    <n v="40"/>
    <x v="3"/>
    <n v="500"/>
    <x v="3"/>
    <n v="0.42400000000000004"/>
  </r>
  <r>
    <s v="Mum-TCL015"/>
    <x v="14"/>
    <x v="6"/>
    <n v="78"/>
    <n v="58"/>
    <n v="34"/>
    <n v="84"/>
    <n v="31"/>
    <x v="7"/>
    <n v="500"/>
    <x v="7"/>
    <n v="0.43000000000000005"/>
  </r>
  <r>
    <s v="Mum-TCL016"/>
    <x v="15"/>
    <x v="7"/>
    <n v="14"/>
    <n v="25"/>
    <n v="45"/>
    <n v="70"/>
    <n v="45"/>
    <x v="12"/>
    <n v="500"/>
    <x v="12"/>
    <n v="0.60199999999999998"/>
  </r>
  <r>
    <s v="Mum-TCL017"/>
    <x v="16"/>
    <x v="0"/>
    <n v="37"/>
    <n v="69"/>
    <n v="96"/>
    <n v="66"/>
    <n v="38"/>
    <x v="13"/>
    <n v="500"/>
    <x v="13"/>
    <n v="0.38800000000000001"/>
  </r>
  <r>
    <s v="Mum-TCL018"/>
    <x v="17"/>
    <x v="1"/>
    <n v="11"/>
    <n v="46"/>
    <n v="91"/>
    <n v="98"/>
    <n v="45"/>
    <x v="14"/>
    <n v="500"/>
    <x v="14"/>
    <n v="0.41800000000000004"/>
  </r>
  <r>
    <s v="Mum-TCL019"/>
    <x v="18"/>
    <x v="2"/>
    <n v="19"/>
    <n v="34"/>
    <n v="64"/>
    <n v="65"/>
    <n v="70"/>
    <x v="15"/>
    <n v="500"/>
    <x v="15"/>
    <n v="0.496"/>
  </r>
  <r>
    <s v="Mum-TCL020"/>
    <x v="19"/>
    <x v="3"/>
    <n v="93"/>
    <n v="84"/>
    <n v="13"/>
    <n v="45"/>
    <n v="18"/>
    <x v="16"/>
    <n v="500"/>
    <x v="16"/>
    <n v="0.49399999999999999"/>
  </r>
  <r>
    <s v="Mum-TCL021"/>
    <x v="20"/>
    <x v="4"/>
    <n v="68"/>
    <n v="73"/>
    <n v="97"/>
    <n v="76"/>
    <n v="53"/>
    <x v="17"/>
    <n v="500"/>
    <x v="17"/>
    <n v="0.26600000000000001"/>
  </r>
  <r>
    <s v="Mum-TCL022"/>
    <x v="21"/>
    <x v="5"/>
    <n v="99"/>
    <n v="17"/>
    <n v="48"/>
    <n v="44"/>
    <n v="93"/>
    <x v="18"/>
    <n v="500"/>
    <x v="18"/>
    <n v="0.39800000000000002"/>
  </r>
  <r>
    <s v="Mum-TCL023"/>
    <x v="22"/>
    <x v="6"/>
    <n v="57"/>
    <n v="28"/>
    <n v="31"/>
    <n v="34"/>
    <n v="52"/>
    <x v="19"/>
    <n v="500"/>
    <x v="19"/>
    <n v="0.59599999999999997"/>
  </r>
  <r>
    <s v="Mum-TCL024"/>
    <x v="23"/>
    <x v="7"/>
    <n v="40"/>
    <n v="22"/>
    <n v="18"/>
    <n v="11"/>
    <n v="92"/>
    <x v="20"/>
    <n v="500"/>
    <x v="20"/>
    <n v="0.63400000000000001"/>
  </r>
  <r>
    <s v="Mum-TCL025"/>
    <x v="24"/>
    <x v="0"/>
    <n v="47"/>
    <n v="99"/>
    <n v="94"/>
    <n v="75"/>
    <n v="29"/>
    <x v="21"/>
    <n v="500"/>
    <x v="21"/>
    <n v="0.31200000000000006"/>
  </r>
  <r>
    <s v="Mum-TCL026"/>
    <x v="25"/>
    <x v="1"/>
    <n v="16"/>
    <n v="71"/>
    <n v="80"/>
    <n v="76"/>
    <n v="33"/>
    <x v="22"/>
    <n v="500"/>
    <x v="22"/>
    <n v="0.44799999999999995"/>
  </r>
  <r>
    <s v="Mum-TCL027"/>
    <x v="26"/>
    <x v="2"/>
    <n v="72"/>
    <n v="87"/>
    <n v="92"/>
    <n v="72"/>
    <n v="34"/>
    <x v="23"/>
    <n v="500"/>
    <x v="23"/>
    <n v="0.28600000000000003"/>
  </r>
  <r>
    <s v="Mum-TCL028"/>
    <x v="27"/>
    <x v="3"/>
    <n v="30"/>
    <n v="38"/>
    <n v="70"/>
    <n v="89"/>
    <n v="97"/>
    <x v="24"/>
    <n v="500"/>
    <x v="24"/>
    <n v="0.35199999999999998"/>
  </r>
  <r>
    <s v="Mum-TCL029"/>
    <x v="28"/>
    <x v="4"/>
    <n v="65"/>
    <n v="90"/>
    <n v="91"/>
    <n v="85"/>
    <n v="10"/>
    <x v="25"/>
    <n v="500"/>
    <x v="25"/>
    <n v="0.31799999999999995"/>
  </r>
  <r>
    <s v="Mum-TCL030"/>
    <x v="29"/>
    <x v="5"/>
    <n v="83"/>
    <n v="46"/>
    <n v="99"/>
    <n v="36"/>
    <n v="89"/>
    <x v="26"/>
    <n v="500"/>
    <x v="26"/>
    <n v="0.29400000000000004"/>
  </r>
  <r>
    <s v="Mum-TCL031"/>
    <x v="30"/>
    <x v="6"/>
    <n v="10"/>
    <n v="66"/>
    <n v="40"/>
    <n v="22"/>
    <n v="38"/>
    <x v="27"/>
    <n v="500"/>
    <x v="27"/>
    <n v="0.64800000000000002"/>
  </r>
  <r>
    <s v="Mum-TCL032"/>
    <x v="31"/>
    <x v="7"/>
    <n v="37"/>
    <n v="30"/>
    <n v="19"/>
    <n v="77"/>
    <n v="67"/>
    <x v="28"/>
    <n v="500"/>
    <x v="28"/>
    <n v="0.54"/>
  </r>
  <r>
    <s v="Mum-TCL033"/>
    <x v="32"/>
    <x v="0"/>
    <n v="83"/>
    <n v="46"/>
    <n v="17"/>
    <n v="94"/>
    <n v="92"/>
    <x v="11"/>
    <n v="500"/>
    <x v="11"/>
    <n v="0.33599999999999997"/>
  </r>
  <r>
    <s v="Mum-TCL034"/>
    <x v="33"/>
    <x v="1"/>
    <n v="84"/>
    <n v="59"/>
    <n v="41"/>
    <n v="17"/>
    <n v="22"/>
    <x v="29"/>
    <n v="500"/>
    <x v="29"/>
    <n v="0.55400000000000005"/>
  </r>
  <r>
    <s v="Mum-TCL035"/>
    <x v="34"/>
    <x v="2"/>
    <n v="82"/>
    <n v="54"/>
    <n v="79"/>
    <n v="61"/>
    <n v="47"/>
    <x v="30"/>
    <n v="500"/>
    <x v="30"/>
    <n v="0.35399999999999998"/>
  </r>
  <r>
    <s v="Mum-TCL036"/>
    <x v="35"/>
    <x v="3"/>
    <n v="47"/>
    <n v="23"/>
    <n v="19"/>
    <n v="64"/>
    <n v="61"/>
    <x v="31"/>
    <n v="500"/>
    <x v="31"/>
    <n v="0.57200000000000006"/>
  </r>
  <r>
    <s v="Mum-TCL037"/>
    <x v="36"/>
    <x v="4"/>
    <n v="91"/>
    <n v="13"/>
    <n v="79"/>
    <n v="85"/>
    <n v="67"/>
    <x v="32"/>
    <n v="500"/>
    <x v="32"/>
    <n v="0.32999999999999996"/>
  </r>
  <r>
    <s v="Mum-TCL038"/>
    <x v="37"/>
    <x v="5"/>
    <n v="66"/>
    <n v="59"/>
    <n v="25"/>
    <n v="55"/>
    <n v="59"/>
    <x v="33"/>
    <n v="500"/>
    <x v="33"/>
    <n v="0.47199999999999998"/>
  </r>
  <r>
    <s v="Mum-TCL039"/>
    <x v="38"/>
    <x v="6"/>
    <n v="70"/>
    <n v="18"/>
    <n v="88"/>
    <n v="46"/>
    <n v="52"/>
    <x v="34"/>
    <n v="500"/>
    <x v="34"/>
    <n v="0.45199999999999996"/>
  </r>
  <r>
    <s v="Mum-TCL040"/>
    <x v="39"/>
    <x v="7"/>
    <n v="37"/>
    <n v="60"/>
    <n v="44"/>
    <n v="61"/>
    <n v="30"/>
    <x v="35"/>
    <n v="500"/>
    <x v="35"/>
    <n v="0.53600000000000003"/>
  </r>
  <r>
    <s v="Mum-TCL041"/>
    <x v="40"/>
    <x v="0"/>
    <n v="16"/>
    <n v="46"/>
    <n v="33"/>
    <n v="54"/>
    <n v="58"/>
    <x v="36"/>
    <n v="500"/>
    <x v="36"/>
    <n v="0.58600000000000008"/>
  </r>
  <r>
    <s v="Mum-TCL042"/>
    <x v="41"/>
    <x v="1"/>
    <n v="47"/>
    <n v="97"/>
    <n v="74"/>
    <n v="97"/>
    <n v="56"/>
    <x v="37"/>
    <n v="500"/>
    <x v="37"/>
    <n v="0.25800000000000001"/>
  </r>
  <r>
    <s v="Mum-TCL043"/>
    <x v="42"/>
    <x v="2"/>
    <n v="86"/>
    <n v="22"/>
    <n v="10"/>
    <n v="60"/>
    <n v="28"/>
    <x v="38"/>
    <n v="500"/>
    <x v="38"/>
    <n v="0.58800000000000008"/>
  </r>
  <r>
    <s v="Mum-TCL044"/>
    <x v="43"/>
    <x v="3"/>
    <n v="74"/>
    <n v="17"/>
    <n v="45"/>
    <n v="64"/>
    <n v="13"/>
    <x v="4"/>
    <n v="500"/>
    <x v="4"/>
    <n v="0.57400000000000007"/>
  </r>
  <r>
    <s v="Mum-TCL045"/>
    <x v="44"/>
    <x v="4"/>
    <n v="80"/>
    <n v="51"/>
    <n v="15"/>
    <n v="97"/>
    <n v="42"/>
    <x v="7"/>
    <n v="500"/>
    <x v="7"/>
    <n v="0.43000000000000005"/>
  </r>
  <r>
    <s v="Mum-TCL046"/>
    <x v="45"/>
    <x v="5"/>
    <n v="49"/>
    <n v="82"/>
    <n v="95"/>
    <n v="46"/>
    <n v="78"/>
    <x v="39"/>
    <n v="500"/>
    <x v="39"/>
    <n v="0.30000000000000004"/>
  </r>
  <r>
    <s v="Mum-TCL047"/>
    <x v="46"/>
    <x v="6"/>
    <n v="17"/>
    <n v="88"/>
    <n v="12"/>
    <n v="54"/>
    <n v="21"/>
    <x v="40"/>
    <n v="500"/>
    <x v="40"/>
    <n v="0.61599999999999999"/>
  </r>
  <r>
    <s v="Mum-TCL048"/>
    <x v="47"/>
    <x v="7"/>
    <n v="74"/>
    <n v="16"/>
    <n v="74"/>
    <n v="36"/>
    <n v="33"/>
    <x v="41"/>
    <n v="500"/>
    <x v="41"/>
    <n v="0.53400000000000003"/>
  </r>
  <r>
    <s v="Mum-TCL049"/>
    <x v="48"/>
    <x v="0"/>
    <n v="73"/>
    <n v="72"/>
    <n v="38"/>
    <n v="19"/>
    <n v="90"/>
    <x v="42"/>
    <n v="500"/>
    <x v="42"/>
    <n v="0.41600000000000004"/>
  </r>
  <r>
    <s v="Mum-TCL050"/>
    <x v="49"/>
    <x v="1"/>
    <n v="17"/>
    <n v="84"/>
    <n v="90"/>
    <n v="77"/>
    <n v="72"/>
    <x v="43"/>
    <n v="500"/>
    <x v="43"/>
    <n v="0.31999999999999995"/>
  </r>
  <r>
    <s v="Mum-TCL051"/>
    <x v="50"/>
    <x v="2"/>
    <n v="52"/>
    <n v="36"/>
    <n v="84"/>
    <n v="41"/>
    <n v="57"/>
    <x v="44"/>
    <n v="500"/>
    <x v="44"/>
    <n v="0.45999999999999996"/>
  </r>
  <r>
    <s v="Mum-TCL052"/>
    <x v="51"/>
    <x v="3"/>
    <n v="65"/>
    <n v="67"/>
    <n v="72"/>
    <n v="22"/>
    <n v="23"/>
    <x v="45"/>
    <n v="500"/>
    <x v="45"/>
    <n v="0.502"/>
  </r>
  <r>
    <s v="Mum-TCL053"/>
    <x v="52"/>
    <x v="4"/>
    <n v="88"/>
    <n v="39"/>
    <n v="25"/>
    <n v="99"/>
    <n v="71"/>
    <x v="46"/>
    <n v="500"/>
    <x v="46"/>
    <n v="0.35599999999999998"/>
  </r>
  <r>
    <s v="Mum-TCL054"/>
    <x v="53"/>
    <x v="5"/>
    <n v="23"/>
    <n v="14"/>
    <n v="15"/>
    <n v="58"/>
    <n v="79"/>
    <x v="8"/>
    <n v="500"/>
    <x v="8"/>
    <n v="0.622"/>
  </r>
  <r>
    <s v="Mum-TCL055"/>
    <x v="54"/>
    <x v="6"/>
    <n v="15"/>
    <n v="67"/>
    <n v="48"/>
    <n v="95"/>
    <n v="35"/>
    <x v="47"/>
    <n v="500"/>
    <x v="47"/>
    <n v="0.48"/>
  </r>
  <r>
    <s v="Mum-TCL056"/>
    <x v="55"/>
    <x v="7"/>
    <n v="18"/>
    <n v="35"/>
    <n v="82"/>
    <n v="31"/>
    <n v="26"/>
    <x v="40"/>
    <n v="500"/>
    <x v="40"/>
    <n v="0.61599999999999999"/>
  </r>
  <r>
    <s v="Mum-TCL057"/>
    <x v="56"/>
    <x v="0"/>
    <n v="57"/>
    <n v="60"/>
    <n v="42"/>
    <n v="81"/>
    <n v="44"/>
    <x v="48"/>
    <n v="500"/>
    <x v="48"/>
    <n v="0.43200000000000005"/>
  </r>
  <r>
    <s v="Mum-TCL058"/>
    <x v="57"/>
    <x v="1"/>
    <n v="34"/>
    <n v="97"/>
    <n v="66"/>
    <n v="45"/>
    <n v="50"/>
    <x v="42"/>
    <n v="500"/>
    <x v="42"/>
    <n v="0.41600000000000004"/>
  </r>
  <r>
    <s v="Mum-TCL059"/>
    <x v="58"/>
    <x v="2"/>
    <n v="83"/>
    <n v="12"/>
    <n v="70"/>
    <n v="83"/>
    <n v="52"/>
    <x v="49"/>
    <n v="500"/>
    <x v="49"/>
    <n v="0.4"/>
  </r>
  <r>
    <s v="Mum-TCL060"/>
    <x v="59"/>
    <x v="3"/>
    <n v="76"/>
    <n v="55"/>
    <n v="56"/>
    <n v="16"/>
    <n v="61"/>
    <x v="33"/>
    <n v="500"/>
    <x v="33"/>
    <n v="0.47199999999999998"/>
  </r>
  <r>
    <s v="Mum-TCL061"/>
    <x v="60"/>
    <x v="4"/>
    <n v="40"/>
    <n v="70"/>
    <n v="19"/>
    <n v="36"/>
    <n v="52"/>
    <x v="50"/>
    <n v="500"/>
    <x v="50"/>
    <n v="0.56600000000000006"/>
  </r>
  <r>
    <s v="Mum-TCL062"/>
    <x v="61"/>
    <x v="5"/>
    <n v="44"/>
    <n v="60"/>
    <n v="71"/>
    <n v="34"/>
    <n v="37"/>
    <x v="51"/>
    <n v="500"/>
    <x v="51"/>
    <n v="0.50800000000000001"/>
  </r>
  <r>
    <s v="Mum-TCL063"/>
    <x v="62"/>
    <x v="6"/>
    <n v="43"/>
    <n v="78"/>
    <n v="15"/>
    <n v="98"/>
    <n v="33"/>
    <x v="52"/>
    <n v="500"/>
    <x v="52"/>
    <n v="0.46599999999999997"/>
  </r>
  <r>
    <s v="Mum-TCL064"/>
    <x v="63"/>
    <x v="7"/>
    <n v="75"/>
    <n v="75"/>
    <n v="89"/>
    <n v="97"/>
    <n v="49"/>
    <x v="53"/>
    <n v="500"/>
    <x v="53"/>
    <n v="0.22999999999999998"/>
  </r>
  <r>
    <s v="Mum-TCL065"/>
    <x v="64"/>
    <x v="0"/>
    <n v="74"/>
    <n v="51"/>
    <n v="97"/>
    <n v="73"/>
    <n v="33"/>
    <x v="54"/>
    <n v="500"/>
    <x v="54"/>
    <n v="0.34399999999999997"/>
  </r>
  <r>
    <s v="Mum-TCL066"/>
    <x v="65"/>
    <x v="1"/>
    <n v="44"/>
    <n v="36"/>
    <n v="11"/>
    <n v="45"/>
    <n v="30"/>
    <x v="55"/>
    <n v="500"/>
    <x v="55"/>
    <n v="0.66799999999999993"/>
  </r>
  <r>
    <s v="Mum-TCL067"/>
    <x v="66"/>
    <x v="2"/>
    <n v="87"/>
    <n v="79"/>
    <n v="46"/>
    <n v="65"/>
    <n v="65"/>
    <x v="56"/>
    <n v="500"/>
    <x v="56"/>
    <n v="0.31599999999999995"/>
  </r>
  <r>
    <s v="Mum-TCL068"/>
    <x v="67"/>
    <x v="3"/>
    <n v="70"/>
    <n v="52"/>
    <n v="80"/>
    <n v="43"/>
    <n v="48"/>
    <x v="57"/>
    <n v="500"/>
    <x v="57"/>
    <n v="0.41400000000000003"/>
  </r>
  <r>
    <s v="Mum-TCL069"/>
    <x v="68"/>
    <x v="4"/>
    <n v="45"/>
    <n v="26"/>
    <n v="27"/>
    <n v="14"/>
    <n v="59"/>
    <x v="58"/>
    <n v="500"/>
    <x v="58"/>
    <n v="0.65799999999999992"/>
  </r>
  <r>
    <s v="Mum-TCL070"/>
    <x v="69"/>
    <x v="5"/>
    <n v="51"/>
    <n v="26"/>
    <n v="58"/>
    <n v="83"/>
    <n v="11"/>
    <x v="59"/>
    <n v="500"/>
    <x v="59"/>
    <n v="0.54200000000000004"/>
  </r>
  <r>
    <s v="Mum-TCL071"/>
    <x v="70"/>
    <x v="6"/>
    <n v="68"/>
    <n v="36"/>
    <n v="15"/>
    <n v="20"/>
    <n v="17"/>
    <x v="60"/>
    <n v="500"/>
    <x v="60"/>
    <n v="0.68799999999999994"/>
  </r>
  <r>
    <s v="Mum-TCL072"/>
    <x v="71"/>
    <x v="7"/>
    <n v="32"/>
    <n v="74"/>
    <n v="18"/>
    <n v="33"/>
    <n v="51"/>
    <x v="61"/>
    <n v="500"/>
    <x v="61"/>
    <n v="0.58400000000000007"/>
  </r>
  <r>
    <s v="Mum-TCL073"/>
    <x v="72"/>
    <x v="0"/>
    <n v="41"/>
    <n v="11"/>
    <n v="46"/>
    <n v="35"/>
    <n v="10"/>
    <x v="62"/>
    <n v="500"/>
    <x v="62"/>
    <n v="0.71399999999999997"/>
  </r>
  <r>
    <s v="Mum-TCL074"/>
    <x v="73"/>
    <x v="1"/>
    <n v="41"/>
    <n v="17"/>
    <n v="82"/>
    <n v="75"/>
    <n v="39"/>
    <x v="63"/>
    <n v="500"/>
    <x v="63"/>
    <n v="0.49199999999999999"/>
  </r>
  <r>
    <s v="Mum-TCL075"/>
    <x v="74"/>
    <x v="2"/>
    <n v="12"/>
    <n v="97"/>
    <n v="45"/>
    <n v="29"/>
    <n v="41"/>
    <x v="64"/>
    <n v="500"/>
    <x v="64"/>
    <n v="0.55200000000000005"/>
  </r>
  <r>
    <s v="Mum-TCL076"/>
    <x v="75"/>
    <x v="3"/>
    <n v="19"/>
    <n v="72"/>
    <n v="87"/>
    <n v="82"/>
    <n v="27"/>
    <x v="65"/>
    <n v="500"/>
    <x v="65"/>
    <n v="0.42600000000000005"/>
  </r>
  <r>
    <s v="Mum-TCL077"/>
    <x v="76"/>
    <x v="4"/>
    <n v="98"/>
    <n v="15"/>
    <n v="72"/>
    <n v="67"/>
    <n v="34"/>
    <x v="66"/>
    <n v="500"/>
    <x v="66"/>
    <n v="0.42800000000000005"/>
  </r>
  <r>
    <s v="Mum-TCL078"/>
    <x v="77"/>
    <x v="5"/>
    <n v="50"/>
    <n v="44"/>
    <n v="46"/>
    <n v="13"/>
    <n v="92"/>
    <x v="67"/>
    <n v="500"/>
    <x v="67"/>
    <n v="0.51"/>
  </r>
  <r>
    <s v="Mum-TCL079"/>
    <x v="78"/>
    <x v="6"/>
    <n v="40"/>
    <n v="82"/>
    <n v="72"/>
    <n v="42"/>
    <n v="45"/>
    <x v="68"/>
    <n v="500"/>
    <x v="68"/>
    <n v="0.43799999999999994"/>
  </r>
  <r>
    <s v="Mum-TCL080"/>
    <x v="79"/>
    <x v="7"/>
    <n v="23"/>
    <n v="83"/>
    <n v="63"/>
    <n v="65"/>
    <n v="83"/>
    <x v="69"/>
    <n v="500"/>
    <x v="69"/>
    <n v="0.36599999999999999"/>
  </r>
  <r>
    <s v="Mum-TCL081"/>
    <x v="80"/>
    <x v="0"/>
    <n v="71"/>
    <n v="94"/>
    <n v="45"/>
    <n v="95"/>
    <n v="46"/>
    <x v="70"/>
    <n v="500"/>
    <x v="70"/>
    <n v="0.29800000000000004"/>
  </r>
  <r>
    <s v="Mum-TCL082"/>
    <x v="81"/>
    <x v="1"/>
    <n v="48"/>
    <n v="49"/>
    <n v="68"/>
    <n v="23"/>
    <n v="21"/>
    <x v="71"/>
    <n v="500"/>
    <x v="71"/>
    <n v="0.58200000000000007"/>
  </r>
  <r>
    <s v="Mum-TCL083"/>
    <x v="82"/>
    <x v="2"/>
    <n v="77"/>
    <n v="83"/>
    <n v="64"/>
    <n v="53"/>
    <n v="13"/>
    <x v="72"/>
    <n v="500"/>
    <x v="72"/>
    <n v="0.42000000000000004"/>
  </r>
  <r>
    <s v="Mum-TCL084"/>
    <x v="83"/>
    <x v="3"/>
    <n v="81"/>
    <n v="63"/>
    <n v="88"/>
    <n v="89"/>
    <n v="63"/>
    <x v="73"/>
    <n v="500"/>
    <x v="73"/>
    <n v="0.23199999999999998"/>
  </r>
  <r>
    <s v="Mum-TCL085"/>
    <x v="84"/>
    <x v="4"/>
    <n v="39"/>
    <n v="87"/>
    <n v="62"/>
    <n v="80"/>
    <n v="81"/>
    <x v="74"/>
    <n v="500"/>
    <x v="74"/>
    <n v="0.30200000000000005"/>
  </r>
  <r>
    <s v="Mum-TCL086"/>
    <x v="85"/>
    <x v="5"/>
    <n v="46"/>
    <n v="19"/>
    <n v="59"/>
    <n v="58"/>
    <n v="33"/>
    <x v="75"/>
    <n v="500"/>
    <x v="75"/>
    <n v="0.57000000000000006"/>
  </r>
  <r>
    <s v="Mum-TCL087"/>
    <x v="86"/>
    <x v="6"/>
    <n v="34"/>
    <n v="15"/>
    <n v="43"/>
    <n v="63"/>
    <n v="54"/>
    <x v="71"/>
    <n v="500"/>
    <x v="71"/>
    <n v="0.58200000000000007"/>
  </r>
  <r>
    <s v="Mum-TCL088"/>
    <x v="87"/>
    <x v="7"/>
    <n v="32"/>
    <n v="79"/>
    <n v="65"/>
    <n v="57"/>
    <n v="73"/>
    <x v="13"/>
    <n v="500"/>
    <x v="13"/>
    <n v="0.38800000000000001"/>
  </r>
  <r>
    <s v="Mum-TCL089"/>
    <x v="88"/>
    <x v="0"/>
    <n v="72"/>
    <n v="82"/>
    <n v="58"/>
    <n v="36"/>
    <n v="33"/>
    <x v="68"/>
    <n v="500"/>
    <x v="68"/>
    <n v="0.43799999999999994"/>
  </r>
  <r>
    <s v="Mum-TCL090"/>
    <x v="89"/>
    <x v="1"/>
    <n v="11"/>
    <n v="69"/>
    <n v="49"/>
    <n v="90"/>
    <n v="99"/>
    <x v="76"/>
    <n v="500"/>
    <x v="76"/>
    <n v="0.36399999999999999"/>
  </r>
  <r>
    <s v="Mum-TCL091"/>
    <x v="90"/>
    <x v="2"/>
    <n v="80"/>
    <n v="73"/>
    <n v="21"/>
    <n v="72"/>
    <n v="54"/>
    <x v="49"/>
    <n v="500"/>
    <x v="49"/>
    <n v="0.4"/>
  </r>
  <r>
    <s v="Mum-TCL092"/>
    <x v="91"/>
    <x v="3"/>
    <n v="93"/>
    <n v="42"/>
    <n v="38"/>
    <n v="98"/>
    <n v="10"/>
    <x v="68"/>
    <n v="500"/>
    <x v="68"/>
    <n v="0.43799999999999994"/>
  </r>
  <r>
    <s v="Mum-TCL093"/>
    <x v="92"/>
    <x v="4"/>
    <n v="18"/>
    <n v="80"/>
    <n v="20"/>
    <n v="32"/>
    <n v="95"/>
    <x v="67"/>
    <n v="500"/>
    <x v="67"/>
    <n v="0.51"/>
  </r>
  <r>
    <s v="Mum-TCL094"/>
    <x v="93"/>
    <x v="5"/>
    <n v="96"/>
    <n v="14"/>
    <n v="20"/>
    <n v="31"/>
    <n v="44"/>
    <x v="77"/>
    <n v="500"/>
    <x v="77"/>
    <n v="0.59000000000000008"/>
  </r>
  <r>
    <s v="Mum-TCL095"/>
    <x v="94"/>
    <x v="6"/>
    <n v="37"/>
    <n v="60"/>
    <n v="50"/>
    <n v="68"/>
    <n v="19"/>
    <x v="78"/>
    <n v="500"/>
    <x v="78"/>
    <n v="0.53200000000000003"/>
  </r>
  <r>
    <s v="Mum-TCL096"/>
    <x v="95"/>
    <x v="7"/>
    <n v="35"/>
    <n v="79"/>
    <n v="17"/>
    <n v="85"/>
    <n v="16"/>
    <x v="35"/>
    <n v="500"/>
    <x v="35"/>
    <n v="0.53600000000000003"/>
  </r>
  <r>
    <s v="Mum-TCL097"/>
    <x v="96"/>
    <x v="0"/>
    <n v="31"/>
    <n v="48"/>
    <n v="56"/>
    <n v="85"/>
    <n v="25"/>
    <x v="67"/>
    <n v="500"/>
    <x v="67"/>
    <n v="0.51"/>
  </r>
  <r>
    <s v="Mum-TCL098"/>
    <x v="97"/>
    <x v="1"/>
    <n v="23"/>
    <n v="83"/>
    <n v="86"/>
    <n v="69"/>
    <n v="25"/>
    <x v="66"/>
    <n v="500"/>
    <x v="66"/>
    <n v="0.42800000000000005"/>
  </r>
  <r>
    <s v="Mum-TCL099"/>
    <x v="98"/>
    <x v="2"/>
    <n v="17"/>
    <n v="97"/>
    <n v="81"/>
    <n v="32"/>
    <n v="76"/>
    <x v="79"/>
    <n v="500"/>
    <x v="79"/>
    <n v="0.39400000000000002"/>
  </r>
  <r>
    <s v="Mum-TCL100"/>
    <x v="99"/>
    <x v="3"/>
    <n v="92"/>
    <n v="45"/>
    <n v="43"/>
    <n v="91"/>
    <n v="47"/>
    <x v="76"/>
    <n v="500"/>
    <x v="76"/>
    <n v="0.36399999999999999"/>
  </r>
  <r>
    <s v="Mum-TCL101"/>
    <x v="100"/>
    <x v="4"/>
    <n v="49"/>
    <n v="77"/>
    <n v="18"/>
    <n v="69"/>
    <n v="55"/>
    <x v="80"/>
    <n v="500"/>
    <x v="80"/>
    <n v="0.46399999999999997"/>
  </r>
  <r>
    <s v="Mum-TCL102"/>
    <x v="101"/>
    <x v="5"/>
    <n v="81"/>
    <n v="88"/>
    <n v="19"/>
    <n v="95"/>
    <n v="39"/>
    <x v="46"/>
    <n v="500"/>
    <x v="46"/>
    <n v="0.35599999999999998"/>
  </r>
  <r>
    <s v="Mum-TCL103"/>
    <x v="102"/>
    <x v="6"/>
    <n v="55"/>
    <n v="14"/>
    <n v="41"/>
    <n v="40"/>
    <n v="70"/>
    <x v="81"/>
    <n v="500"/>
    <x v="81"/>
    <n v="0.56000000000000005"/>
  </r>
  <r>
    <s v="Mum-TCL104"/>
    <x v="103"/>
    <x v="7"/>
    <n v="86"/>
    <n v="13"/>
    <n v="99"/>
    <n v="25"/>
    <n v="83"/>
    <x v="13"/>
    <n v="500"/>
    <x v="13"/>
    <n v="0.38800000000000001"/>
  </r>
  <r>
    <s v="Mum-TCL105"/>
    <x v="104"/>
    <x v="0"/>
    <n v="88"/>
    <n v="96"/>
    <n v="16"/>
    <n v="65"/>
    <n v="86"/>
    <x v="70"/>
    <n v="500"/>
    <x v="70"/>
    <n v="0.29800000000000004"/>
  </r>
  <r>
    <s v="Mum-TCL106"/>
    <x v="105"/>
    <x v="1"/>
    <n v="61"/>
    <n v="73"/>
    <n v="34"/>
    <n v="30"/>
    <n v="30"/>
    <x v="82"/>
    <n v="500"/>
    <x v="82"/>
    <n v="0.54400000000000004"/>
  </r>
  <r>
    <s v="Mum-TCL107"/>
    <x v="106"/>
    <x v="2"/>
    <n v="61"/>
    <n v="91"/>
    <n v="53"/>
    <n v="78"/>
    <n v="91"/>
    <x v="83"/>
    <n v="500"/>
    <x v="83"/>
    <n v="0.252"/>
  </r>
  <r>
    <s v="Mum-TCL108"/>
    <x v="107"/>
    <x v="3"/>
    <n v="75"/>
    <n v="53"/>
    <n v="27"/>
    <n v="26"/>
    <n v="30"/>
    <x v="84"/>
    <n v="500"/>
    <x v="84"/>
    <n v="0.57800000000000007"/>
  </r>
  <r>
    <s v="Mum-TCL109"/>
    <x v="108"/>
    <x v="4"/>
    <n v="24"/>
    <n v="31"/>
    <n v="41"/>
    <n v="57"/>
    <n v="83"/>
    <x v="85"/>
    <n v="500"/>
    <x v="85"/>
    <n v="0.52800000000000002"/>
  </r>
  <r>
    <s v="Mum-TCL110"/>
    <x v="109"/>
    <x v="5"/>
    <n v="83"/>
    <n v="62"/>
    <n v="32"/>
    <n v="83"/>
    <n v="95"/>
    <x v="86"/>
    <n v="500"/>
    <x v="86"/>
    <n v="0.29000000000000004"/>
  </r>
  <r>
    <s v="Mum-TCL111"/>
    <x v="110"/>
    <x v="6"/>
    <n v="39"/>
    <n v="52"/>
    <n v="72"/>
    <n v="99"/>
    <n v="58"/>
    <x v="87"/>
    <n v="500"/>
    <x v="87"/>
    <n v="0.36"/>
  </r>
  <r>
    <s v="Mum-TCL112"/>
    <x v="111"/>
    <x v="7"/>
    <n v="93"/>
    <n v="74"/>
    <n v="85"/>
    <n v="47"/>
    <n v="90"/>
    <x v="88"/>
    <n v="500"/>
    <x v="88"/>
    <n v="0.22199999999999998"/>
  </r>
  <r>
    <s v="Mum-TCL113"/>
    <x v="112"/>
    <x v="0"/>
    <n v="43"/>
    <n v="88"/>
    <n v="35"/>
    <n v="54"/>
    <n v="91"/>
    <x v="89"/>
    <n v="500"/>
    <x v="89"/>
    <n v="0.378"/>
  </r>
  <r>
    <s v="Mum-TCL114"/>
    <x v="113"/>
    <x v="1"/>
    <n v="87"/>
    <n v="15"/>
    <n v="11"/>
    <n v="42"/>
    <n v="88"/>
    <x v="90"/>
    <n v="500"/>
    <x v="90"/>
    <n v="0.51400000000000001"/>
  </r>
  <r>
    <s v="Mum-TCL115"/>
    <x v="114"/>
    <x v="2"/>
    <n v="45"/>
    <n v="45"/>
    <n v="61"/>
    <n v="11"/>
    <n v="52"/>
    <x v="31"/>
    <n v="500"/>
    <x v="31"/>
    <n v="0.57200000000000006"/>
  </r>
  <r>
    <s v="Mum-TCL116"/>
    <x v="115"/>
    <x v="3"/>
    <n v="71"/>
    <n v="42"/>
    <n v="17"/>
    <n v="57"/>
    <n v="96"/>
    <x v="91"/>
    <n v="500"/>
    <x v="91"/>
    <n v="0.43400000000000005"/>
  </r>
  <r>
    <s v="Mum-TCL117"/>
    <x v="116"/>
    <x v="4"/>
    <n v="26"/>
    <n v="65"/>
    <n v="17"/>
    <n v="28"/>
    <n v="30"/>
    <x v="55"/>
    <n v="500"/>
    <x v="55"/>
    <n v="0.66799999999999993"/>
  </r>
  <r>
    <s v="Mum-TCL118"/>
    <x v="117"/>
    <x v="5"/>
    <n v="26"/>
    <n v="61"/>
    <n v="89"/>
    <n v="71"/>
    <n v="33"/>
    <x v="92"/>
    <n v="500"/>
    <x v="92"/>
    <n v="0.43999999999999995"/>
  </r>
  <r>
    <s v="Mum-TCL119"/>
    <x v="118"/>
    <x v="6"/>
    <n v="93"/>
    <n v="11"/>
    <n v="93"/>
    <n v="31"/>
    <n v="30"/>
    <x v="93"/>
    <n v="500"/>
    <x v="93"/>
    <n v="0.48399999999999999"/>
  </r>
  <r>
    <s v="Mum-TCL120"/>
    <x v="119"/>
    <x v="7"/>
    <n v="65"/>
    <n v="92"/>
    <n v="48"/>
    <n v="96"/>
    <n v="15"/>
    <x v="94"/>
    <n v="500"/>
    <x v="94"/>
    <n v="0.36799999999999999"/>
  </r>
  <r>
    <s v="Mum-TCL121"/>
    <x v="120"/>
    <x v="0"/>
    <n v="91"/>
    <n v="38"/>
    <n v="33"/>
    <n v="55"/>
    <n v="83"/>
    <x v="49"/>
    <n v="500"/>
    <x v="49"/>
    <n v="0.4"/>
  </r>
  <r>
    <s v="Mum-TCL122"/>
    <x v="121"/>
    <x v="1"/>
    <n v="20"/>
    <n v="94"/>
    <n v="45"/>
    <n v="70"/>
    <n v="98"/>
    <x v="95"/>
    <n v="500"/>
    <x v="95"/>
    <n v="0.34599999999999997"/>
  </r>
  <r>
    <s v="Mum-TCL123"/>
    <x v="122"/>
    <x v="2"/>
    <n v="25"/>
    <n v="83"/>
    <n v="26"/>
    <n v="68"/>
    <n v="22"/>
    <x v="64"/>
    <n v="500"/>
    <x v="64"/>
    <n v="0.55200000000000005"/>
  </r>
  <r>
    <s v="Mum-TCL124"/>
    <x v="123"/>
    <x v="3"/>
    <n v="26"/>
    <n v="16"/>
    <n v="61"/>
    <n v="92"/>
    <n v="50"/>
    <x v="67"/>
    <n v="500"/>
    <x v="67"/>
    <n v="0.51"/>
  </r>
  <r>
    <s v="Mum-TCL125"/>
    <x v="124"/>
    <x v="4"/>
    <n v="31"/>
    <n v="55"/>
    <n v="75"/>
    <n v="66"/>
    <n v="75"/>
    <x v="96"/>
    <n v="500"/>
    <x v="96"/>
    <n v="0.39600000000000002"/>
  </r>
  <r>
    <s v="Mum-TCL126"/>
    <x v="125"/>
    <x v="5"/>
    <n v="41"/>
    <n v="66"/>
    <n v="48"/>
    <n v="70"/>
    <n v="48"/>
    <x v="97"/>
    <n v="500"/>
    <x v="97"/>
    <n v="0.45399999999999996"/>
  </r>
  <r>
    <s v="Mum-TCL127"/>
    <x v="126"/>
    <x v="6"/>
    <n v="60"/>
    <n v="92"/>
    <n v="32"/>
    <n v="60"/>
    <n v="78"/>
    <x v="46"/>
    <n v="500"/>
    <x v="46"/>
    <n v="0.35599999999999998"/>
  </r>
  <r>
    <s v="Mum-TCL128"/>
    <x v="127"/>
    <x v="7"/>
    <n v="42"/>
    <n v="24"/>
    <n v="19"/>
    <n v="82"/>
    <n v="16"/>
    <x v="20"/>
    <n v="500"/>
    <x v="20"/>
    <n v="0.63400000000000001"/>
  </r>
  <r>
    <s v="Mum-TCL129"/>
    <x v="128"/>
    <x v="0"/>
    <n v="26"/>
    <n v="85"/>
    <n v="75"/>
    <n v="83"/>
    <n v="37"/>
    <x v="13"/>
    <n v="500"/>
    <x v="13"/>
    <n v="0.38800000000000001"/>
  </r>
  <r>
    <s v="Mum-TCL130"/>
    <x v="129"/>
    <x v="1"/>
    <n v="81"/>
    <n v="68"/>
    <n v="74"/>
    <n v="72"/>
    <n v="12"/>
    <x v="98"/>
    <n v="500"/>
    <x v="98"/>
    <n v="0.38600000000000001"/>
  </r>
  <r>
    <s v="Mum-TCL131"/>
    <x v="130"/>
    <x v="2"/>
    <n v="90"/>
    <n v="79"/>
    <n v="99"/>
    <n v="60"/>
    <n v="27"/>
    <x v="86"/>
    <n v="500"/>
    <x v="86"/>
    <n v="0.29000000000000004"/>
  </r>
  <r>
    <s v="Mum-TCL132"/>
    <x v="131"/>
    <x v="3"/>
    <n v="71"/>
    <n v="21"/>
    <n v="70"/>
    <n v="53"/>
    <n v="49"/>
    <x v="33"/>
    <n v="500"/>
    <x v="33"/>
    <n v="0.47199999999999998"/>
  </r>
  <r>
    <s v="Mum-TCL133"/>
    <x v="132"/>
    <x v="4"/>
    <n v="86"/>
    <n v="60"/>
    <n v="59"/>
    <n v="51"/>
    <n v="90"/>
    <x v="99"/>
    <n v="500"/>
    <x v="99"/>
    <n v="0.30800000000000005"/>
  </r>
  <r>
    <s v="Mum-TCL134"/>
    <x v="133"/>
    <x v="5"/>
    <n v="68"/>
    <n v="61"/>
    <n v="12"/>
    <n v="41"/>
    <n v="35"/>
    <x v="50"/>
    <n v="500"/>
    <x v="50"/>
    <n v="0.56600000000000006"/>
  </r>
  <r>
    <s v="Mum-TCL135"/>
    <x v="134"/>
    <x v="6"/>
    <n v="65"/>
    <n v="34"/>
    <n v="15"/>
    <n v="86"/>
    <n v="71"/>
    <x v="100"/>
    <n v="500"/>
    <x v="100"/>
    <n v="0.45799999999999996"/>
  </r>
  <r>
    <s v="Mum-TCL136"/>
    <x v="135"/>
    <x v="7"/>
    <n v="91"/>
    <n v="21"/>
    <n v="59"/>
    <n v="85"/>
    <n v="60"/>
    <x v="94"/>
    <n v="500"/>
    <x v="94"/>
    <n v="0.36799999999999999"/>
  </r>
  <r>
    <s v="Mum-TCL137"/>
    <x v="136"/>
    <x v="0"/>
    <n v="73"/>
    <n v="67"/>
    <n v="49"/>
    <n v="56"/>
    <n v="43"/>
    <x v="3"/>
    <n v="500"/>
    <x v="3"/>
    <n v="0.42400000000000004"/>
  </r>
  <r>
    <s v="Mum-TCL138"/>
    <x v="137"/>
    <x v="1"/>
    <n v="72"/>
    <n v="49"/>
    <n v="93"/>
    <n v="95"/>
    <n v="73"/>
    <x v="101"/>
    <n v="500"/>
    <x v="101"/>
    <n v="0.23599999999999999"/>
  </r>
  <r>
    <s v="Mum-TCL139"/>
    <x v="138"/>
    <x v="2"/>
    <n v="85"/>
    <n v="43"/>
    <n v="74"/>
    <n v="26"/>
    <n v="88"/>
    <x v="94"/>
    <n v="500"/>
    <x v="94"/>
    <n v="0.36799999999999999"/>
  </r>
  <r>
    <s v="Mum-TCL140"/>
    <x v="139"/>
    <x v="3"/>
    <n v="77"/>
    <n v="81"/>
    <n v="10"/>
    <n v="65"/>
    <n v="83"/>
    <x v="94"/>
    <n v="500"/>
    <x v="94"/>
    <n v="0.36799999999999999"/>
  </r>
  <r>
    <s v="Mum-TCL141"/>
    <x v="140"/>
    <x v="4"/>
    <n v="46"/>
    <n v="52"/>
    <n v="57"/>
    <n v="67"/>
    <n v="64"/>
    <x v="66"/>
    <n v="50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9EB892-1545-4E1F-920D-C82BF8332552}"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2">
  <location ref="L5:M6" firstHeaderRow="1" firstDataRow="1" firstDataCol="1"/>
  <pivotFields count="12">
    <pivotField compact="0" outline="0" showAll="0"/>
    <pivotField dataField="1" compact="0" outline="0"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axis="axisRow" compact="0" outline="0" showAll="0">
      <items count="9">
        <item h="1" x="3"/>
        <item h="1" x="1"/>
        <item h="1" x="0"/>
        <item h="1" x="2"/>
        <item h="1" x="5"/>
        <item h="1" x="4"/>
        <item h="1" x="6"/>
        <item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0" outline="0" showAll="0"/>
    <pivotField compact="0" numFmtId="10" outline="0" showAll="0"/>
  </pivotFields>
  <rowFields count="1">
    <field x="2"/>
  </rowFields>
  <rowItems count="1">
    <i>
      <x v="7"/>
    </i>
  </rowItems>
  <colItems count="1">
    <i/>
  </colItems>
  <dataFields count="1">
    <dataField name="Count of Sales Executive" fld="1" subtotal="count" baseField="0" baseItem="0"/>
  </dataFields>
  <formats count="16">
    <format dxfId="804">
      <pivotArea type="all" dataOnly="0" outline="0" fieldPosition="0"/>
    </format>
    <format dxfId="805">
      <pivotArea outline="0" collapsedLevelsAreSubtotals="1" fieldPosition="0"/>
    </format>
    <format dxfId="806">
      <pivotArea field="1" type="button" dataOnly="0" labelOnly="1" outline="0"/>
    </format>
    <format dxfId="807">
      <pivotArea dataOnly="0" labelOnly="1" outline="0" axis="axisValues" fieldPosition="0"/>
    </format>
    <format dxfId="808">
      <pivotArea field="1" type="button" dataOnly="0" labelOnly="1" outline="0"/>
    </format>
    <format dxfId="809">
      <pivotArea dataOnly="0" labelOnly="1" outline="0" axis="axisValues" fieldPosition="0"/>
    </format>
    <format dxfId="810">
      <pivotArea field="1" type="button" dataOnly="0" labelOnly="1" outline="0"/>
    </format>
    <format dxfId="811">
      <pivotArea dataOnly="0" labelOnly="1" outline="0" axis="axisValues" fieldPosition="0"/>
    </format>
    <format dxfId="812">
      <pivotArea outline="0" collapsedLevelsAreSubtotals="1" fieldPosition="0"/>
    </format>
    <format dxfId="813">
      <pivotArea field="1" type="button" dataOnly="0" labelOnly="1" outline="0"/>
    </format>
    <format dxfId="814">
      <pivotArea dataOnly="0" labelOnly="1" outline="0" axis="axisValues" fieldPosition="0"/>
    </format>
    <format dxfId="815">
      <pivotArea field="1" type="button" dataOnly="0" labelOnly="1" outline="0"/>
    </format>
    <format dxfId="816">
      <pivotArea dataOnly="0" labelOnly="1" outline="0" axis="axisValues" fieldPosition="0"/>
    </format>
    <format dxfId="817">
      <pivotArea outline="0" collapsedLevelsAreSubtotals="1" fieldPosition="0"/>
    </format>
    <format dxfId="803">
      <pivotArea dataOnly="0" labelOnly="1" outline="0" fieldPosition="0">
        <references count="1">
          <reference field="2" count="0"/>
        </references>
      </pivotArea>
    </format>
    <format dxfId="802">
      <pivotArea dataOnly="0" labelOnly="1" outline="0" fieldPosition="0">
        <references count="1">
          <reference field="2" count="0"/>
        </references>
      </pivotArea>
    </format>
  </formats>
  <pivotTableStyleInfo name="PivotStyleDark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BD7C3FD-FC22-4966-A525-CE8C6BE1CA1C}"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1">
  <location ref="I5:J6" firstHeaderRow="0" firstDataRow="1" firstDataCol="0"/>
  <pivotFields count="12">
    <pivotField compact="0" outline="0" showAll="0"/>
    <pivotField compact="0" outline="0"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multipleItemSelectionAllowed="1" showAll="0">
      <items count="9">
        <item h="1" x="3"/>
        <item h="1" x="1"/>
        <item h="1" x="0"/>
        <item h="1" x="2"/>
        <item h="1" x="5"/>
        <item h="1" x="4"/>
        <item h="1" x="6"/>
        <item x="7"/>
        <item t="default"/>
      </items>
    </pivotField>
    <pivotField compact="0" outline="0" showAll="0"/>
    <pivotField compact="0" outline="0" showAll="0"/>
    <pivotField compact="0" outline="0" showAll="0"/>
    <pivotField compact="0" outline="0" showAll="0"/>
    <pivotField compact="0" outline="0" showAll="0"/>
    <pivotField dataField="1" compact="0" outline="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dataField="1" compact="0" outline="0" showAll="0"/>
    <pivotField compact="0" numFmtId="10" outline="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compact="0" numFmtId="10" outline="0" showAll="0"/>
  </pivotFields>
  <rowItems count="1">
    <i/>
  </rowItems>
  <colFields count="1">
    <field x="-2"/>
  </colFields>
  <colItems count="2">
    <i>
      <x/>
    </i>
    <i i="1">
      <x v="1"/>
    </i>
  </colItems>
  <dataFields count="2">
    <dataField name="Total Sales Achieved" fld="8" baseField="0" baseItem="0"/>
    <dataField name="Target Sales" fld="9" baseField="0" baseItem="0"/>
  </dataFields>
  <formats count="22">
    <format dxfId="818">
      <pivotArea type="all" dataOnly="0" outline="0" fieldPosition="0"/>
    </format>
    <format dxfId="819">
      <pivotArea outline="0" collapsedLevelsAreSubtotals="1" fieldPosition="0"/>
    </format>
    <format dxfId="820">
      <pivotArea field="1" type="button" dataOnly="0" labelOnly="1" outline="0"/>
    </format>
    <format dxfId="821">
      <pivotArea dataOnly="0" labelOnly="1" outline="0" axis="axisValues" fieldPosition="0"/>
    </format>
    <format dxfId="822">
      <pivotArea field="1" type="button" dataOnly="0" labelOnly="1" outline="0"/>
    </format>
    <format dxfId="823">
      <pivotArea dataOnly="0" labelOnly="1" outline="0" axis="axisValues" fieldPosition="0"/>
    </format>
    <format dxfId="824">
      <pivotArea field="1" type="button" dataOnly="0" labelOnly="1" outline="0"/>
    </format>
    <format dxfId="825">
      <pivotArea dataOnly="0" labelOnly="1" outline="0" axis="axisValues" fieldPosition="0"/>
    </format>
    <format dxfId="826">
      <pivotArea outline="0" collapsedLevelsAreSubtotals="1" fieldPosition="0"/>
    </format>
    <format dxfId="827">
      <pivotArea field="1" type="button" dataOnly="0" labelOnly="1" outline="0"/>
    </format>
    <format dxfId="828">
      <pivotArea dataOnly="0" labelOnly="1" outline="0" axis="axisValues" fieldPosition="0"/>
    </format>
    <format dxfId="829">
      <pivotArea field="1" type="button" dataOnly="0" labelOnly="1" outline="0"/>
    </format>
    <format dxfId="830">
      <pivotArea dataOnly="0" labelOnly="1" outline="0" axis="axisValues" fieldPosition="0"/>
    </format>
    <format dxfId="831">
      <pivotArea outline="0" collapsedLevelsAreSubtotals="1" fieldPosition="0"/>
    </format>
    <format dxfId="832">
      <pivotArea type="all" dataOnly="0" outline="0" fieldPosition="0"/>
    </format>
    <format dxfId="833">
      <pivotArea outline="0" collapsedLevelsAreSubtotals="1" fieldPosition="0"/>
    </format>
    <format dxfId="834">
      <pivotArea field="2" type="button" dataOnly="0" labelOnly="1" outline="0"/>
    </format>
    <format dxfId="835">
      <pivotArea field="-2" type="button" dataOnly="0" labelOnly="1" outline="0" axis="axisCol" fieldPosition="0"/>
    </format>
    <format dxfId="836">
      <pivotArea dataOnly="0" labelOnly="1" outline="0" fieldPosition="0">
        <references count="1">
          <reference field="4294967294" count="2">
            <x v="0"/>
            <x v="1"/>
          </reference>
        </references>
      </pivotArea>
    </format>
    <format dxfId="837">
      <pivotArea dataOnly="0" labelOnly="1" outline="0" fieldPosition="0">
        <references count="1">
          <reference field="4294967294" count="2">
            <x v="0"/>
            <x v="1"/>
          </reference>
        </references>
      </pivotArea>
    </format>
    <format dxfId="838">
      <pivotArea dataOnly="0" labelOnly="1" outline="0" fieldPosition="0">
        <references count="1">
          <reference field="4294967294" count="2">
            <x v="0"/>
            <x v="1"/>
          </reference>
        </references>
      </pivotArea>
    </format>
    <format dxfId="0">
      <pivotArea outline="0" collapsedLevelsAreSubtotals="1" fieldPosition="0"/>
    </format>
  </formats>
  <pivotTableStyleInfo name="PivotStyleDark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A96AD2-46CD-45E8-9C90-04B70184A94F}"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location ref="E5:G10" firstHeaderRow="0"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h="1" x="2"/>
        <item h="1" x="5"/>
        <item h="1" x="4"/>
        <item h="1" x="6"/>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dataField="1" compact="0" numFmtId="10" outline="0" showAll="0"/>
  </pivotFields>
  <rowFields count="1">
    <field x="1"/>
  </rowFields>
  <rowItems count="5">
    <i>
      <x v="14"/>
    </i>
    <i>
      <x v="71"/>
    </i>
    <i>
      <x v="88"/>
    </i>
    <i>
      <x v="120"/>
    </i>
    <i>
      <x v="128"/>
    </i>
  </rowItems>
  <colFields count="1">
    <field x="-2"/>
  </colFields>
  <colItems count="2">
    <i>
      <x/>
    </i>
    <i i="1">
      <x v="1"/>
    </i>
  </colItems>
  <dataFields count="2">
    <dataField name="Total Sales " fld="8" baseField="0" baseItem="0"/>
    <dataField name="Away From Target % " fld="11" baseField="0" baseItem="0" numFmtId="10"/>
  </dataFields>
  <formats count="24">
    <format dxfId="839">
      <pivotArea type="all" dataOnly="0" outline="0" fieldPosition="0"/>
    </format>
    <format dxfId="840">
      <pivotArea outline="0" collapsedLevelsAreSubtotals="1" fieldPosition="0"/>
    </format>
    <format dxfId="841">
      <pivotArea field="1" type="button" dataOnly="0" labelOnly="1" outline="0" axis="axisRow" fieldPosition="0"/>
    </format>
    <format dxfId="842">
      <pivotArea dataOnly="0" labelOnly="1" outline="0" fieldPosition="0">
        <references count="1">
          <reference field="1" count="5">
            <x v="26"/>
            <x v="70"/>
            <x v="72"/>
            <x v="74"/>
            <x v="77"/>
          </reference>
        </references>
      </pivotArea>
    </format>
    <format dxfId="843">
      <pivotArea dataOnly="0" labelOnly="1" outline="0" axis="axisValues" fieldPosition="0"/>
    </format>
    <format dxfId="844">
      <pivotArea field="1" type="button" dataOnly="0" labelOnly="1" outline="0" axis="axisRow" fieldPosition="0"/>
    </format>
    <format dxfId="845">
      <pivotArea dataOnly="0" labelOnly="1" outline="0" axis="axisValues" fieldPosition="0"/>
    </format>
    <format dxfId="846">
      <pivotArea field="1" type="button" dataOnly="0" labelOnly="1" outline="0" axis="axisRow" fieldPosition="0"/>
    </format>
    <format dxfId="847">
      <pivotArea dataOnly="0" labelOnly="1" outline="0" axis="axisValues" fieldPosition="0"/>
    </format>
    <format dxfId="848">
      <pivotArea outline="0" collapsedLevelsAreSubtotals="1" fieldPosition="0"/>
    </format>
    <format dxfId="849">
      <pivotArea dataOnly="0" labelOnly="1" outline="0" fieldPosition="0">
        <references count="1">
          <reference field="1" count="5">
            <x v="26"/>
            <x v="70"/>
            <x v="72"/>
            <x v="74"/>
            <x v="77"/>
          </reference>
        </references>
      </pivotArea>
    </format>
    <format dxfId="850">
      <pivotArea field="1" type="button" dataOnly="0" labelOnly="1" outline="0" axis="axisRow" fieldPosition="0"/>
    </format>
    <format dxfId="851">
      <pivotArea dataOnly="0" labelOnly="1" outline="0" axis="axisValues" fieldPosition="0"/>
    </format>
    <format dxfId="852">
      <pivotArea field="1" type="button" dataOnly="0" labelOnly="1" outline="0" axis="axisRow" fieldPosition="0"/>
    </format>
    <format dxfId="853">
      <pivotArea dataOnly="0" labelOnly="1" outline="0" axis="axisValues" fieldPosition="0"/>
    </format>
    <format dxfId="854">
      <pivotArea outline="0" collapsedLevelsAreSubtotals="1" fieldPosition="0"/>
    </format>
    <format dxfId="855">
      <pivotArea dataOnly="0" labelOnly="1" outline="0" fieldPosition="0">
        <references count="1">
          <reference field="1" count="5">
            <x v="26"/>
            <x v="70"/>
            <x v="72"/>
            <x v="74"/>
            <x v="77"/>
          </reference>
        </references>
      </pivotArea>
    </format>
    <format dxfId="856">
      <pivotArea dataOnly="0" labelOnly="1" outline="0" fieldPosition="0">
        <references count="1">
          <reference field="1" count="5">
            <x v="46"/>
            <x v="54"/>
            <x v="70"/>
            <x v="103"/>
            <x v="135"/>
          </reference>
        </references>
      </pivotArea>
    </format>
    <format dxfId="857">
      <pivotArea field="1" type="button" dataOnly="0" labelOnly="1" outline="0" axis="axisRow" fieldPosition="0"/>
    </format>
    <format dxfId="858">
      <pivotArea dataOnly="0" labelOnly="1" outline="0" fieldPosition="0">
        <references count="1">
          <reference field="4294967294" count="2">
            <x v="0"/>
            <x v="1"/>
          </reference>
        </references>
      </pivotArea>
    </format>
    <format dxfId="859">
      <pivotArea field="1" type="button" dataOnly="0" labelOnly="1" outline="0" axis="axisRow" fieldPosition="0"/>
    </format>
    <format dxfId="860">
      <pivotArea dataOnly="0" labelOnly="1" outline="0" fieldPosition="0">
        <references count="1">
          <reference field="4294967294" count="2">
            <x v="0"/>
            <x v="1"/>
          </reference>
        </references>
      </pivotArea>
    </format>
    <format dxfId="861">
      <pivotArea field="1" type="button" dataOnly="0" labelOnly="1" outline="0" axis="axisRow" fieldPosition="0"/>
    </format>
    <format dxfId="862">
      <pivotArea dataOnly="0" labelOnly="1" outline="0" fieldPosition="0">
        <references count="1">
          <reference field="4294967294" count="2">
            <x v="0"/>
            <x v="1"/>
          </reference>
        </references>
      </pivotArea>
    </format>
  </formats>
  <pivotTableStyleInfo name="PivotStyleDark11"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1E0894-74A1-463A-A41B-749345965B7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compact="0" compactData="0" multipleFieldFilters="0" chartFormat="4">
  <location ref="A5:C10" firstHeaderRow="0" firstDataRow="1" firstDataCol="1"/>
  <pivotFields count="12">
    <pivotField compact="0" outline="0" showAll="0"/>
    <pivotField axis="axisRow" compact="0" outline="0" showAll="0" measureFilter="1" sortType="de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autoSortScope>
        <pivotArea dataOnly="0" outline="0" fieldPosition="0">
          <references count="1">
            <reference field="4294967294" count="1" selected="0">
              <x v="0"/>
            </reference>
          </references>
        </pivotArea>
      </autoSortScope>
    </pivotField>
    <pivotField compact="0" outline="0" showAll="0">
      <items count="9">
        <item h="1" x="3"/>
        <item h="1" x="1"/>
        <item h="1" x="0"/>
        <item h="1" x="2"/>
        <item h="1" x="5"/>
        <item h="1" x="4"/>
        <item h="1" x="6"/>
        <item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numFmtId="10" outline="0" showAll="0"/>
    <pivotField compact="0" numFmtId="10" outline="0" showAll="0"/>
  </pivotFields>
  <rowFields count="1">
    <field x="1"/>
  </rowFields>
  <rowItems count="5">
    <i>
      <x v="31"/>
    </i>
    <i>
      <x v="79"/>
    </i>
    <i>
      <x v="63"/>
    </i>
    <i>
      <x v="23"/>
    </i>
    <i>
      <x v="5"/>
    </i>
  </rowItems>
  <colFields count="1">
    <field x="-2"/>
  </colFields>
  <colItems count="2">
    <i>
      <x/>
    </i>
    <i i="1">
      <x v="1"/>
    </i>
  </colItems>
  <dataFields count="2">
    <dataField name="Total Sales " fld="8" baseField="0" baseItem="0"/>
    <dataField name="Target Hit % " fld="10" baseField="0" baseItem="0" numFmtId="10"/>
  </dataFields>
  <formats count="28">
    <format dxfId="863">
      <pivotArea type="all" dataOnly="0" outline="0" fieldPosition="0"/>
    </format>
    <format dxfId="864">
      <pivotArea outline="0" collapsedLevelsAreSubtotals="1" fieldPosition="0"/>
    </format>
    <format dxfId="865">
      <pivotArea field="1" type="button" dataOnly="0" labelOnly="1" outline="0" axis="axisRow" fieldPosition="0"/>
    </format>
    <format dxfId="866">
      <pivotArea dataOnly="0" labelOnly="1" outline="0" fieldPosition="0">
        <references count="1">
          <reference field="1" count="5">
            <x v="3"/>
            <x v="15"/>
            <x v="31"/>
            <x v="59"/>
            <x v="79"/>
          </reference>
        </references>
      </pivotArea>
    </format>
    <format dxfId="867">
      <pivotArea dataOnly="0" labelOnly="1" outline="0" axis="axisValues" fieldPosition="0"/>
    </format>
    <format dxfId="868">
      <pivotArea field="1" type="button" dataOnly="0" labelOnly="1" outline="0" axis="axisRow" fieldPosition="0"/>
    </format>
    <format dxfId="869">
      <pivotArea dataOnly="0" labelOnly="1" outline="0" axis="axisValues" fieldPosition="0"/>
    </format>
    <format dxfId="870">
      <pivotArea dataOnly="0" labelOnly="1" outline="0" axis="axisValues" fieldPosition="0"/>
    </format>
    <format dxfId="871">
      <pivotArea outline="0" collapsedLevelsAreSubtotals="1" fieldPosition="0"/>
    </format>
    <format dxfId="872">
      <pivotArea field="1" type="button" dataOnly="0" labelOnly="1" outline="0" axis="axisRow" fieldPosition="0"/>
    </format>
    <format dxfId="873">
      <pivotArea dataOnly="0" labelOnly="1" outline="0" fieldPosition="0">
        <references count="1">
          <reference field="1" count="5">
            <x v="3"/>
            <x v="15"/>
            <x v="31"/>
            <x v="59"/>
            <x v="79"/>
          </reference>
        </references>
      </pivotArea>
    </format>
    <format dxfId="874">
      <pivotArea field="1" type="button" dataOnly="0" labelOnly="1" outline="0" axis="axisRow" fieldPosition="0"/>
    </format>
    <format dxfId="875">
      <pivotArea dataOnly="0" labelOnly="1" outline="0" axis="axisValues" fieldPosition="0"/>
    </format>
    <format dxfId="876">
      <pivotArea type="all" dataOnly="0" outline="0" fieldPosition="0"/>
    </format>
    <format dxfId="877">
      <pivotArea outline="0" collapsedLevelsAreSubtotals="1" fieldPosition="0"/>
    </format>
    <format dxfId="878">
      <pivotArea field="1" type="button" dataOnly="0" labelOnly="1" outline="0" axis="axisRow" fieldPosition="0"/>
    </format>
    <format dxfId="879">
      <pivotArea dataOnly="0" labelOnly="1" outline="0" fieldPosition="0">
        <references count="1">
          <reference field="1" count="5">
            <x v="3"/>
            <x v="15"/>
            <x v="31"/>
            <x v="59"/>
            <x v="79"/>
          </reference>
        </references>
      </pivotArea>
    </format>
    <format dxfId="880">
      <pivotArea dataOnly="0" labelOnly="1" outline="0" axis="axisValues" fieldPosition="0"/>
    </format>
    <format dxfId="881">
      <pivotArea field="1" type="button" dataOnly="0" labelOnly="1" outline="0" axis="axisRow" fieldPosition="0"/>
    </format>
    <format dxfId="882">
      <pivotArea dataOnly="0" labelOnly="1" outline="0" axis="axisValues" fieldPosition="0"/>
    </format>
    <format dxfId="883">
      <pivotArea outline="0" collapsedLevelsAreSubtotals="1" fieldPosition="0"/>
    </format>
    <format dxfId="884">
      <pivotArea dataOnly="0" labelOnly="1" outline="0" fieldPosition="0">
        <references count="1">
          <reference field="1" count="5">
            <x v="3"/>
            <x v="15"/>
            <x v="31"/>
            <x v="59"/>
            <x v="79"/>
          </reference>
        </references>
      </pivotArea>
    </format>
    <format dxfId="885">
      <pivotArea dataOnly="0" labelOnly="1" outline="0" fieldPosition="0">
        <references count="1">
          <reference field="1" count="5">
            <x v="38"/>
            <x v="62"/>
            <x v="82"/>
            <x v="111"/>
            <x v="119"/>
          </reference>
        </references>
      </pivotArea>
    </format>
    <format dxfId="886">
      <pivotArea dataOnly="0" labelOnly="1" outline="0" fieldPosition="0">
        <references count="1">
          <reference field="4294967294" count="2">
            <x v="0"/>
            <x v="1"/>
          </reference>
        </references>
      </pivotArea>
    </format>
    <format dxfId="887">
      <pivotArea field="1" type="button" dataOnly="0" labelOnly="1" outline="0" axis="axisRow" fieldPosition="0"/>
    </format>
    <format dxfId="888">
      <pivotArea dataOnly="0" labelOnly="1" outline="0" fieldPosition="0">
        <references count="1">
          <reference field="4294967294" count="2">
            <x v="0"/>
            <x v="1"/>
          </reference>
        </references>
      </pivotArea>
    </format>
    <format dxfId="889">
      <pivotArea field="1" type="button" dataOnly="0" labelOnly="1" outline="0" axis="axisRow" fieldPosition="0"/>
    </format>
    <format dxfId="890">
      <pivotArea dataOnly="0" labelOnly="1" outline="0" fieldPosition="0">
        <references count="1">
          <reference field="4294967294" count="2">
            <x v="0"/>
            <x v="1"/>
          </reference>
        </references>
      </pivotArea>
    </format>
  </formats>
  <chartFormats count="2">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CAE5C4A-B3AB-4601-9591-13D018D994D2}" sourceName="Region">
  <pivotTables>
    <pivotTable tabId="2" name="PivotTable3"/>
    <pivotTable tabId="2" name="PivotTable2"/>
    <pivotTable tabId="2" name="PivotTable4"/>
    <pivotTable tabId="2" name="PivotTable1"/>
  </pivotTables>
  <data>
    <tabular pivotCacheId="1745781586">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6C244673-26AA-4369-83C3-EEEF12CC7AD5}" cache="Slicer_Region" caption="Region" columnCount="8" showCaption="0" style="Slicer Style 1" rowHeight="18288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45A718-75F3-6547-92A8-F163A2BA02F3}" name="Table1" displayName="Table1" ref="A1:L142" totalsRowShown="0" headerRowDxfId="906" headerRowBorderDxfId="904" tableBorderDxfId="905" totalsRowBorderDxfId="903">
  <autoFilter ref="A1:L142" xr:uid="{2345A718-75F3-6547-92A8-F163A2BA02F3}"/>
  <tableColumns count="12">
    <tableColumn id="1" xr3:uid="{C858E441-9F79-344E-8318-15E590439C7D}" name="Emp Code" dataDxfId="902"/>
    <tableColumn id="2" xr3:uid="{8F2E3E71-57AB-274F-BBBA-26767889CCD7}" name="Sales Executive" dataDxfId="901"/>
    <tableColumn id="3" xr3:uid="{47BB387C-01C7-BC40-B440-FE614A0BE609}" name="Region" dataDxfId="900"/>
    <tableColumn id="4" xr3:uid="{258ED2FB-5213-C44B-9093-2E108B5B3072}" name="Day1" dataDxfId="899"/>
    <tableColumn id="5" xr3:uid="{EC628B34-D7EE-FE4A-81D1-1BBD84869B25}" name="Day2" dataDxfId="898"/>
    <tableColumn id="6" xr3:uid="{43EA7C79-BDAB-7B40-8A63-0F6AA737D7B4}" name="Day3" dataDxfId="897"/>
    <tableColumn id="7" xr3:uid="{0A6C0B07-EA1F-2B4B-9992-32711A686775}" name="Day4" dataDxfId="896"/>
    <tableColumn id="8" xr3:uid="{5ABB6C73-7ABD-1847-B57E-FCC89345E2FC}" name="Day5" dataDxfId="895"/>
    <tableColumn id="9" xr3:uid="{1C90B20D-E3BE-6042-A1BD-8CE85D99A9C2}" name="Total Sales" dataDxfId="894">
      <calculatedColumnFormula>SUM(D2:H2)</calculatedColumnFormula>
    </tableColumn>
    <tableColumn id="10" xr3:uid="{9F14133B-6C7D-D241-8969-AF43AB15380F}" name="Target" dataDxfId="893"/>
    <tableColumn id="11" xr3:uid="{25199C11-88A8-654E-955A-6A5019ACA0A8}" name="Target Hit %" dataDxfId="892" dataCellStyle="Per cent">
      <calculatedColumnFormula>I2/J2</calculatedColumnFormula>
    </tableColumn>
    <tableColumn id="12" xr3:uid="{E46BC93F-CD9E-5B45-B228-75691C2D5674}" name="Away From Target %" dataDxfId="891">
      <calculatedColumnFormula>100%-K2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30" zoomScaleNormal="130" workbookViewId="0">
      <selection activeCell="P12" sqref="P12"/>
    </sheetView>
  </sheetViews>
  <sheetFormatPr baseColWidth="10" defaultColWidth="8.83203125" defaultRowHeight="15"/>
  <cols>
    <col min="1" max="1" width="11.5" bestFit="1" customWidth="1"/>
    <col min="2" max="2" width="20.33203125" customWidth="1"/>
    <col min="3" max="3" width="10.6640625" customWidth="1"/>
    <col min="4" max="4" width="8" customWidth="1"/>
    <col min="5" max="8" width="6.1640625" customWidth="1"/>
    <col min="9" max="9" width="10" customWidth="1"/>
    <col min="10" max="10" width="7.1640625" customWidth="1"/>
    <col min="11" max="11" width="11.1640625" customWidth="1"/>
    <col min="12" max="12" width="17.33203125" bestFit="1" customWidth="1"/>
  </cols>
  <sheetData>
    <row r="1" spans="1:12">
      <c r="A1" s="25" t="s">
        <v>0</v>
      </c>
      <c r="B1" s="26" t="s">
        <v>1</v>
      </c>
      <c r="C1" s="26" t="s">
        <v>2</v>
      </c>
      <c r="D1" s="26" t="s">
        <v>3</v>
      </c>
      <c r="E1" s="26" t="s">
        <v>4</v>
      </c>
      <c r="F1" s="26" t="s">
        <v>5</v>
      </c>
      <c r="G1" s="26" t="s">
        <v>6</v>
      </c>
      <c r="H1" s="26" t="s">
        <v>7</v>
      </c>
      <c r="I1" s="26" t="s">
        <v>8</v>
      </c>
      <c r="J1" s="26" t="s">
        <v>9</v>
      </c>
      <c r="K1" s="26" t="s">
        <v>10</v>
      </c>
      <c r="L1" s="27" t="s">
        <v>11</v>
      </c>
    </row>
    <row r="2" spans="1:12">
      <c r="A2" s="23" t="s">
        <v>12</v>
      </c>
      <c r="B2" s="1" t="s">
        <v>13</v>
      </c>
      <c r="C2" s="1" t="s">
        <v>14</v>
      </c>
      <c r="D2" s="2">
        <v>49</v>
      </c>
      <c r="E2" s="2">
        <v>84</v>
      </c>
      <c r="F2" s="2">
        <v>98</v>
      </c>
      <c r="G2" s="2">
        <v>67</v>
      </c>
      <c r="H2" s="2">
        <v>41</v>
      </c>
      <c r="I2" s="3">
        <f>SUM(D2:H2)</f>
        <v>339</v>
      </c>
      <c r="J2" s="3">
        <v>500</v>
      </c>
      <c r="K2" s="4">
        <f>I2/J2</f>
        <v>0.67800000000000005</v>
      </c>
      <c r="L2" s="24">
        <f>100%-K2</f>
        <v>0.32199999999999995</v>
      </c>
    </row>
    <row r="3" spans="1:12">
      <c r="A3" s="23" t="s">
        <v>15</v>
      </c>
      <c r="B3" s="1" t="s">
        <v>16</v>
      </c>
      <c r="C3" s="1" t="s">
        <v>17</v>
      </c>
      <c r="D3" s="2">
        <v>44</v>
      </c>
      <c r="E3" s="2">
        <v>85</v>
      </c>
      <c r="F3" s="2">
        <v>47</v>
      </c>
      <c r="G3" s="2">
        <v>15</v>
      </c>
      <c r="H3" s="2">
        <v>48</v>
      </c>
      <c r="I3" s="3">
        <f t="shared" ref="I3:I66" si="0">SUM(D3:H3)</f>
        <v>239</v>
      </c>
      <c r="J3" s="3">
        <v>500</v>
      </c>
      <c r="K3" s="4">
        <f t="shared" ref="K3:K66" si="1">I3/J3</f>
        <v>0.47799999999999998</v>
      </c>
      <c r="L3" s="24">
        <f t="shared" ref="L3:L66" si="2">100%-K3</f>
        <v>0.52200000000000002</v>
      </c>
    </row>
    <row r="4" spans="1:12">
      <c r="A4" s="23" t="s">
        <v>18</v>
      </c>
      <c r="B4" s="1" t="s">
        <v>19</v>
      </c>
      <c r="C4" s="1" t="s">
        <v>20</v>
      </c>
      <c r="D4" s="2">
        <v>45</v>
      </c>
      <c r="E4" s="2">
        <v>79</v>
      </c>
      <c r="F4" s="2">
        <v>88</v>
      </c>
      <c r="G4" s="2">
        <v>73</v>
      </c>
      <c r="H4" s="2">
        <v>94</v>
      </c>
      <c r="I4" s="3">
        <f t="shared" si="0"/>
        <v>379</v>
      </c>
      <c r="J4" s="3">
        <v>500</v>
      </c>
      <c r="K4" s="4">
        <f t="shared" si="1"/>
        <v>0.75800000000000001</v>
      </c>
      <c r="L4" s="24">
        <f t="shared" si="2"/>
        <v>0.24199999999999999</v>
      </c>
    </row>
    <row r="5" spans="1:12">
      <c r="A5" s="23" t="s">
        <v>21</v>
      </c>
      <c r="B5" s="1" t="s">
        <v>22</v>
      </c>
      <c r="C5" s="1" t="s">
        <v>23</v>
      </c>
      <c r="D5" s="2">
        <v>52</v>
      </c>
      <c r="E5" s="2">
        <v>99</v>
      </c>
      <c r="F5" s="2">
        <v>13</v>
      </c>
      <c r="G5" s="2">
        <v>95</v>
      </c>
      <c r="H5" s="2">
        <v>29</v>
      </c>
      <c r="I5" s="3">
        <f t="shared" si="0"/>
        <v>288</v>
      </c>
      <c r="J5" s="3">
        <v>500</v>
      </c>
      <c r="K5" s="4">
        <f t="shared" si="1"/>
        <v>0.57599999999999996</v>
      </c>
      <c r="L5" s="24">
        <f t="shared" si="2"/>
        <v>0.42400000000000004</v>
      </c>
    </row>
    <row r="6" spans="1:12">
      <c r="A6" s="23" t="s">
        <v>24</v>
      </c>
      <c r="B6" s="1" t="s">
        <v>25</v>
      </c>
      <c r="C6" s="1" t="s">
        <v>26</v>
      </c>
      <c r="D6" s="2">
        <v>35</v>
      </c>
      <c r="E6" s="2">
        <v>54</v>
      </c>
      <c r="F6" s="2">
        <v>49</v>
      </c>
      <c r="G6" s="2">
        <v>26</v>
      </c>
      <c r="H6" s="2">
        <v>49</v>
      </c>
      <c r="I6" s="3">
        <f t="shared" si="0"/>
        <v>213</v>
      </c>
      <c r="J6" s="3">
        <v>500</v>
      </c>
      <c r="K6" s="4">
        <f t="shared" si="1"/>
        <v>0.42599999999999999</v>
      </c>
      <c r="L6" s="24">
        <f t="shared" si="2"/>
        <v>0.57400000000000007</v>
      </c>
    </row>
    <row r="7" spans="1:12">
      <c r="A7" s="23" t="s">
        <v>27</v>
      </c>
      <c r="B7" s="1" t="s">
        <v>28</v>
      </c>
      <c r="C7" s="1" t="s">
        <v>29</v>
      </c>
      <c r="D7" s="2">
        <v>86</v>
      </c>
      <c r="E7" s="2">
        <v>31</v>
      </c>
      <c r="F7" s="2">
        <v>23</v>
      </c>
      <c r="G7" s="2">
        <v>48</v>
      </c>
      <c r="H7" s="2">
        <v>77</v>
      </c>
      <c r="I7" s="3">
        <f t="shared" si="0"/>
        <v>265</v>
      </c>
      <c r="J7" s="3">
        <v>500</v>
      </c>
      <c r="K7" s="4">
        <f t="shared" si="1"/>
        <v>0.53</v>
      </c>
      <c r="L7" s="24">
        <f t="shared" si="2"/>
        <v>0.47</v>
      </c>
    </row>
    <row r="8" spans="1:12">
      <c r="A8" s="23" t="s">
        <v>30</v>
      </c>
      <c r="B8" s="1" t="s">
        <v>31</v>
      </c>
      <c r="C8" s="1" t="s">
        <v>32</v>
      </c>
      <c r="D8" s="2">
        <v>84</v>
      </c>
      <c r="E8" s="2">
        <v>28</v>
      </c>
      <c r="F8" s="2">
        <v>98</v>
      </c>
      <c r="G8" s="2">
        <v>80</v>
      </c>
      <c r="H8" s="2">
        <v>79</v>
      </c>
      <c r="I8" s="3">
        <f t="shared" si="0"/>
        <v>369</v>
      </c>
      <c r="J8" s="3">
        <v>500</v>
      </c>
      <c r="K8" s="4">
        <f t="shared" si="1"/>
        <v>0.73799999999999999</v>
      </c>
      <c r="L8" s="24">
        <f t="shared" si="2"/>
        <v>0.26200000000000001</v>
      </c>
    </row>
    <row r="9" spans="1:12">
      <c r="A9" s="23" t="s">
        <v>33</v>
      </c>
      <c r="B9" s="1" t="s">
        <v>34</v>
      </c>
      <c r="C9" s="1" t="s">
        <v>35</v>
      </c>
      <c r="D9" s="2">
        <v>73</v>
      </c>
      <c r="E9" s="2">
        <v>97</v>
      </c>
      <c r="F9" s="2">
        <v>38</v>
      </c>
      <c r="G9" s="2">
        <v>24</v>
      </c>
      <c r="H9" s="2">
        <v>53</v>
      </c>
      <c r="I9" s="3">
        <f t="shared" si="0"/>
        <v>285</v>
      </c>
      <c r="J9" s="3">
        <v>500</v>
      </c>
      <c r="K9" s="4">
        <f t="shared" si="1"/>
        <v>0.56999999999999995</v>
      </c>
      <c r="L9" s="24">
        <f t="shared" si="2"/>
        <v>0.43000000000000005</v>
      </c>
    </row>
    <row r="10" spans="1:12">
      <c r="A10" s="23" t="s">
        <v>36</v>
      </c>
      <c r="B10" s="1" t="s">
        <v>37</v>
      </c>
      <c r="C10" s="1" t="s">
        <v>14</v>
      </c>
      <c r="D10" s="2">
        <v>54</v>
      </c>
      <c r="E10" s="2">
        <v>26</v>
      </c>
      <c r="F10" s="2">
        <v>53</v>
      </c>
      <c r="G10" s="2">
        <v>36</v>
      </c>
      <c r="H10" s="2">
        <v>20</v>
      </c>
      <c r="I10" s="3">
        <f t="shared" si="0"/>
        <v>189</v>
      </c>
      <c r="J10" s="3">
        <v>500</v>
      </c>
      <c r="K10" s="4">
        <f t="shared" si="1"/>
        <v>0.378</v>
      </c>
      <c r="L10" s="24">
        <f t="shared" si="2"/>
        <v>0.622</v>
      </c>
    </row>
    <row r="11" spans="1:12">
      <c r="A11" s="23" t="s">
        <v>38</v>
      </c>
      <c r="B11" s="1" t="s">
        <v>39</v>
      </c>
      <c r="C11" s="1" t="s">
        <v>17</v>
      </c>
      <c r="D11" s="2">
        <v>52</v>
      </c>
      <c r="E11" s="2">
        <v>52</v>
      </c>
      <c r="F11" s="2">
        <v>19</v>
      </c>
      <c r="G11" s="2">
        <v>53</v>
      </c>
      <c r="H11" s="2">
        <v>37</v>
      </c>
      <c r="I11" s="3">
        <f t="shared" si="0"/>
        <v>213</v>
      </c>
      <c r="J11" s="3">
        <v>500</v>
      </c>
      <c r="K11" s="4">
        <f t="shared" si="1"/>
        <v>0.42599999999999999</v>
      </c>
      <c r="L11" s="24">
        <f t="shared" si="2"/>
        <v>0.57400000000000007</v>
      </c>
    </row>
    <row r="12" spans="1:12">
      <c r="A12" s="23" t="s">
        <v>40</v>
      </c>
      <c r="B12" s="1" t="s">
        <v>41</v>
      </c>
      <c r="C12" s="1" t="s">
        <v>20</v>
      </c>
      <c r="D12" s="2">
        <v>63</v>
      </c>
      <c r="E12" s="2">
        <v>17</v>
      </c>
      <c r="F12" s="2">
        <v>40</v>
      </c>
      <c r="G12" s="2">
        <v>48</v>
      </c>
      <c r="H12" s="2">
        <v>51</v>
      </c>
      <c r="I12" s="3">
        <f t="shared" si="0"/>
        <v>219</v>
      </c>
      <c r="J12" s="3">
        <v>500</v>
      </c>
      <c r="K12" s="4">
        <f t="shared" si="1"/>
        <v>0.438</v>
      </c>
      <c r="L12" s="24">
        <f t="shared" si="2"/>
        <v>0.56200000000000006</v>
      </c>
    </row>
    <row r="13" spans="1:12">
      <c r="A13" s="23" t="s">
        <v>42</v>
      </c>
      <c r="B13" s="1" t="s">
        <v>43</v>
      </c>
      <c r="C13" s="1" t="s">
        <v>23</v>
      </c>
      <c r="D13" s="2">
        <v>79</v>
      </c>
      <c r="E13" s="2">
        <v>99</v>
      </c>
      <c r="F13" s="2">
        <v>95</v>
      </c>
      <c r="G13" s="2">
        <v>12</v>
      </c>
      <c r="H13" s="2">
        <v>91</v>
      </c>
      <c r="I13" s="3">
        <f t="shared" si="0"/>
        <v>376</v>
      </c>
      <c r="J13" s="3">
        <v>500</v>
      </c>
      <c r="K13" s="4">
        <f t="shared" si="1"/>
        <v>0.752</v>
      </c>
      <c r="L13" s="24">
        <f t="shared" si="2"/>
        <v>0.248</v>
      </c>
    </row>
    <row r="14" spans="1:12">
      <c r="A14" s="23" t="s">
        <v>44</v>
      </c>
      <c r="B14" s="1" t="s">
        <v>45</v>
      </c>
      <c r="C14" s="1" t="s">
        <v>26</v>
      </c>
      <c r="D14" s="5">
        <v>95</v>
      </c>
      <c r="E14" s="2">
        <v>88</v>
      </c>
      <c r="F14" s="2">
        <v>11</v>
      </c>
      <c r="G14" s="2">
        <v>78</v>
      </c>
      <c r="H14" s="2">
        <v>60</v>
      </c>
      <c r="I14" s="3">
        <f t="shared" si="0"/>
        <v>332</v>
      </c>
      <c r="J14" s="3">
        <v>500</v>
      </c>
      <c r="K14" s="4">
        <f t="shared" si="1"/>
        <v>0.66400000000000003</v>
      </c>
      <c r="L14" s="24">
        <f t="shared" si="2"/>
        <v>0.33599999999999997</v>
      </c>
    </row>
    <row r="15" spans="1:12">
      <c r="A15" s="23" t="s">
        <v>46</v>
      </c>
      <c r="B15" s="1" t="s">
        <v>47</v>
      </c>
      <c r="C15" s="1" t="s">
        <v>29</v>
      </c>
      <c r="D15" s="2">
        <v>83</v>
      </c>
      <c r="E15" s="2">
        <v>77</v>
      </c>
      <c r="F15" s="2">
        <v>66</v>
      </c>
      <c r="G15" s="2">
        <v>22</v>
      </c>
      <c r="H15" s="2">
        <v>40</v>
      </c>
      <c r="I15" s="3">
        <f t="shared" si="0"/>
        <v>288</v>
      </c>
      <c r="J15" s="3">
        <v>500</v>
      </c>
      <c r="K15" s="4">
        <f t="shared" si="1"/>
        <v>0.57599999999999996</v>
      </c>
      <c r="L15" s="24">
        <f t="shared" si="2"/>
        <v>0.42400000000000004</v>
      </c>
    </row>
    <row r="16" spans="1:12">
      <c r="A16" s="23" t="s">
        <v>48</v>
      </c>
      <c r="B16" s="1" t="s">
        <v>49</v>
      </c>
      <c r="C16" s="1" t="s">
        <v>32</v>
      </c>
      <c r="D16" s="2">
        <v>78</v>
      </c>
      <c r="E16" s="2">
        <v>58</v>
      </c>
      <c r="F16" s="2">
        <v>34</v>
      </c>
      <c r="G16" s="2">
        <v>84</v>
      </c>
      <c r="H16" s="2">
        <v>31</v>
      </c>
      <c r="I16" s="3">
        <f t="shared" si="0"/>
        <v>285</v>
      </c>
      <c r="J16" s="3">
        <v>500</v>
      </c>
      <c r="K16" s="4">
        <f t="shared" si="1"/>
        <v>0.56999999999999995</v>
      </c>
      <c r="L16" s="24">
        <f t="shared" si="2"/>
        <v>0.43000000000000005</v>
      </c>
    </row>
    <row r="17" spans="1:12">
      <c r="A17" s="23" t="s">
        <v>50</v>
      </c>
      <c r="B17" s="1" t="s">
        <v>51</v>
      </c>
      <c r="C17" s="1" t="s">
        <v>35</v>
      </c>
      <c r="D17" s="2">
        <v>14</v>
      </c>
      <c r="E17" s="2">
        <v>25</v>
      </c>
      <c r="F17" s="2">
        <v>45</v>
      </c>
      <c r="G17" s="2">
        <v>70</v>
      </c>
      <c r="H17" s="2">
        <v>45</v>
      </c>
      <c r="I17" s="3">
        <f t="shared" si="0"/>
        <v>199</v>
      </c>
      <c r="J17" s="3">
        <v>500</v>
      </c>
      <c r="K17" s="4">
        <f t="shared" si="1"/>
        <v>0.39800000000000002</v>
      </c>
      <c r="L17" s="24">
        <f t="shared" si="2"/>
        <v>0.60199999999999998</v>
      </c>
    </row>
    <row r="18" spans="1:12">
      <c r="A18" s="23" t="s">
        <v>52</v>
      </c>
      <c r="B18" s="1" t="s">
        <v>53</v>
      </c>
      <c r="C18" s="1" t="s">
        <v>14</v>
      </c>
      <c r="D18" s="2">
        <v>37</v>
      </c>
      <c r="E18" s="2">
        <v>69</v>
      </c>
      <c r="F18" s="2">
        <v>96</v>
      </c>
      <c r="G18" s="2">
        <v>66</v>
      </c>
      <c r="H18" s="2">
        <v>38</v>
      </c>
      <c r="I18" s="3">
        <f t="shared" si="0"/>
        <v>306</v>
      </c>
      <c r="J18" s="3">
        <v>500</v>
      </c>
      <c r="K18" s="4">
        <f t="shared" si="1"/>
        <v>0.61199999999999999</v>
      </c>
      <c r="L18" s="24">
        <f t="shared" si="2"/>
        <v>0.38800000000000001</v>
      </c>
    </row>
    <row r="19" spans="1:12">
      <c r="A19" s="23" t="s">
        <v>54</v>
      </c>
      <c r="B19" s="1" t="s">
        <v>55</v>
      </c>
      <c r="C19" s="1" t="s">
        <v>17</v>
      </c>
      <c r="D19" s="2">
        <v>11</v>
      </c>
      <c r="E19" s="2">
        <v>46</v>
      </c>
      <c r="F19" s="2">
        <v>91</v>
      </c>
      <c r="G19" s="2">
        <v>98</v>
      </c>
      <c r="H19" s="2">
        <v>45</v>
      </c>
      <c r="I19" s="3">
        <f t="shared" si="0"/>
        <v>291</v>
      </c>
      <c r="J19" s="3">
        <v>500</v>
      </c>
      <c r="K19" s="4">
        <f t="shared" si="1"/>
        <v>0.58199999999999996</v>
      </c>
      <c r="L19" s="24">
        <f t="shared" si="2"/>
        <v>0.41800000000000004</v>
      </c>
    </row>
    <row r="20" spans="1:12">
      <c r="A20" s="23" t="s">
        <v>56</v>
      </c>
      <c r="B20" s="1" t="s">
        <v>57</v>
      </c>
      <c r="C20" s="1" t="s">
        <v>20</v>
      </c>
      <c r="D20" s="2">
        <v>19</v>
      </c>
      <c r="E20" s="2">
        <v>34</v>
      </c>
      <c r="F20" s="2">
        <v>64</v>
      </c>
      <c r="G20" s="2">
        <v>65</v>
      </c>
      <c r="H20" s="2">
        <v>70</v>
      </c>
      <c r="I20" s="3">
        <f t="shared" si="0"/>
        <v>252</v>
      </c>
      <c r="J20" s="3">
        <v>500</v>
      </c>
      <c r="K20" s="4">
        <f t="shared" si="1"/>
        <v>0.504</v>
      </c>
      <c r="L20" s="24">
        <f t="shared" si="2"/>
        <v>0.496</v>
      </c>
    </row>
    <row r="21" spans="1:12">
      <c r="A21" s="23" t="s">
        <v>58</v>
      </c>
      <c r="B21" s="1" t="s">
        <v>59</v>
      </c>
      <c r="C21" s="1" t="s">
        <v>23</v>
      </c>
      <c r="D21" s="2">
        <v>93</v>
      </c>
      <c r="E21" s="2">
        <v>84</v>
      </c>
      <c r="F21" s="2">
        <v>13</v>
      </c>
      <c r="G21" s="2">
        <v>45</v>
      </c>
      <c r="H21" s="2">
        <v>18</v>
      </c>
      <c r="I21" s="3">
        <f t="shared" si="0"/>
        <v>253</v>
      </c>
      <c r="J21" s="3">
        <v>500</v>
      </c>
      <c r="K21" s="4">
        <f t="shared" si="1"/>
        <v>0.50600000000000001</v>
      </c>
      <c r="L21" s="24">
        <f t="shared" si="2"/>
        <v>0.49399999999999999</v>
      </c>
    </row>
    <row r="22" spans="1:12">
      <c r="A22" s="23" t="s">
        <v>60</v>
      </c>
      <c r="B22" s="1" t="s">
        <v>61</v>
      </c>
      <c r="C22" s="1" t="s">
        <v>26</v>
      </c>
      <c r="D22" s="2">
        <v>68</v>
      </c>
      <c r="E22" s="2">
        <v>73</v>
      </c>
      <c r="F22" s="2">
        <v>97</v>
      </c>
      <c r="G22" s="2">
        <v>76</v>
      </c>
      <c r="H22" s="2">
        <v>53</v>
      </c>
      <c r="I22" s="3">
        <f t="shared" si="0"/>
        <v>367</v>
      </c>
      <c r="J22" s="3">
        <v>500</v>
      </c>
      <c r="K22" s="4">
        <f t="shared" si="1"/>
        <v>0.73399999999999999</v>
      </c>
      <c r="L22" s="24">
        <f t="shared" si="2"/>
        <v>0.26600000000000001</v>
      </c>
    </row>
    <row r="23" spans="1:12">
      <c r="A23" s="23" t="s">
        <v>62</v>
      </c>
      <c r="B23" s="1" t="s">
        <v>63</v>
      </c>
      <c r="C23" s="1" t="s">
        <v>29</v>
      </c>
      <c r="D23" s="2">
        <v>99</v>
      </c>
      <c r="E23" s="2">
        <v>17</v>
      </c>
      <c r="F23" s="2">
        <v>48</v>
      </c>
      <c r="G23" s="2">
        <v>44</v>
      </c>
      <c r="H23" s="2">
        <v>93</v>
      </c>
      <c r="I23" s="3">
        <f t="shared" si="0"/>
        <v>301</v>
      </c>
      <c r="J23" s="3">
        <v>500</v>
      </c>
      <c r="K23" s="4">
        <f t="shared" si="1"/>
        <v>0.60199999999999998</v>
      </c>
      <c r="L23" s="24">
        <f t="shared" si="2"/>
        <v>0.39800000000000002</v>
      </c>
    </row>
    <row r="24" spans="1:12">
      <c r="A24" s="23" t="s">
        <v>64</v>
      </c>
      <c r="B24" s="1" t="s">
        <v>65</v>
      </c>
      <c r="C24" s="1" t="s">
        <v>32</v>
      </c>
      <c r="D24" s="2">
        <v>57</v>
      </c>
      <c r="E24" s="2">
        <v>28</v>
      </c>
      <c r="F24" s="2">
        <v>31</v>
      </c>
      <c r="G24" s="2">
        <v>34</v>
      </c>
      <c r="H24" s="2">
        <v>52</v>
      </c>
      <c r="I24" s="3">
        <f t="shared" si="0"/>
        <v>202</v>
      </c>
      <c r="J24" s="3">
        <v>500</v>
      </c>
      <c r="K24" s="4">
        <f t="shared" si="1"/>
        <v>0.40400000000000003</v>
      </c>
      <c r="L24" s="24">
        <f t="shared" si="2"/>
        <v>0.59599999999999997</v>
      </c>
    </row>
    <row r="25" spans="1:12">
      <c r="A25" s="23" t="s">
        <v>66</v>
      </c>
      <c r="B25" s="1" t="s">
        <v>67</v>
      </c>
      <c r="C25" s="1" t="s">
        <v>35</v>
      </c>
      <c r="D25" s="2">
        <v>40</v>
      </c>
      <c r="E25" s="2">
        <v>22</v>
      </c>
      <c r="F25" s="2">
        <v>18</v>
      </c>
      <c r="G25" s="2">
        <v>11</v>
      </c>
      <c r="H25" s="2">
        <v>92</v>
      </c>
      <c r="I25" s="3">
        <f t="shared" si="0"/>
        <v>183</v>
      </c>
      <c r="J25" s="3">
        <v>500</v>
      </c>
      <c r="K25" s="4">
        <f t="shared" si="1"/>
        <v>0.36599999999999999</v>
      </c>
      <c r="L25" s="24">
        <f t="shared" si="2"/>
        <v>0.63400000000000001</v>
      </c>
    </row>
    <row r="26" spans="1:12">
      <c r="A26" s="23" t="s">
        <v>68</v>
      </c>
      <c r="B26" s="1" t="s">
        <v>69</v>
      </c>
      <c r="C26" s="1" t="s">
        <v>14</v>
      </c>
      <c r="D26" s="2">
        <v>47</v>
      </c>
      <c r="E26" s="2">
        <v>99</v>
      </c>
      <c r="F26" s="2">
        <v>94</v>
      </c>
      <c r="G26" s="2">
        <v>75</v>
      </c>
      <c r="H26" s="2">
        <v>29</v>
      </c>
      <c r="I26" s="3">
        <f t="shared" si="0"/>
        <v>344</v>
      </c>
      <c r="J26" s="3">
        <v>500</v>
      </c>
      <c r="K26" s="4">
        <f t="shared" si="1"/>
        <v>0.68799999999999994</v>
      </c>
      <c r="L26" s="24">
        <f t="shared" si="2"/>
        <v>0.31200000000000006</v>
      </c>
    </row>
    <row r="27" spans="1:12">
      <c r="A27" s="23" t="s">
        <v>70</v>
      </c>
      <c r="B27" s="1" t="s">
        <v>71</v>
      </c>
      <c r="C27" s="1" t="s">
        <v>17</v>
      </c>
      <c r="D27" s="2">
        <v>16</v>
      </c>
      <c r="E27" s="2">
        <v>71</v>
      </c>
      <c r="F27" s="2">
        <v>80</v>
      </c>
      <c r="G27" s="2">
        <v>76</v>
      </c>
      <c r="H27" s="2">
        <v>33</v>
      </c>
      <c r="I27" s="3">
        <f t="shared" si="0"/>
        <v>276</v>
      </c>
      <c r="J27" s="3">
        <v>500</v>
      </c>
      <c r="K27" s="4">
        <f t="shared" si="1"/>
        <v>0.55200000000000005</v>
      </c>
      <c r="L27" s="24">
        <f t="shared" si="2"/>
        <v>0.44799999999999995</v>
      </c>
    </row>
    <row r="28" spans="1:12">
      <c r="A28" s="23" t="s">
        <v>72</v>
      </c>
      <c r="B28" s="1" t="s">
        <v>73</v>
      </c>
      <c r="C28" s="1" t="s">
        <v>20</v>
      </c>
      <c r="D28" s="2">
        <v>72</v>
      </c>
      <c r="E28" s="2">
        <v>87</v>
      </c>
      <c r="F28" s="2">
        <v>92</v>
      </c>
      <c r="G28" s="2">
        <v>72</v>
      </c>
      <c r="H28" s="2">
        <v>34</v>
      </c>
      <c r="I28" s="3">
        <f t="shared" si="0"/>
        <v>357</v>
      </c>
      <c r="J28" s="3">
        <v>500</v>
      </c>
      <c r="K28" s="4">
        <f t="shared" si="1"/>
        <v>0.71399999999999997</v>
      </c>
      <c r="L28" s="24">
        <f t="shared" si="2"/>
        <v>0.28600000000000003</v>
      </c>
    </row>
    <row r="29" spans="1:12">
      <c r="A29" s="23" t="s">
        <v>74</v>
      </c>
      <c r="B29" s="1" t="s">
        <v>75</v>
      </c>
      <c r="C29" s="1" t="s">
        <v>23</v>
      </c>
      <c r="D29" s="2">
        <v>30</v>
      </c>
      <c r="E29" s="2">
        <v>38</v>
      </c>
      <c r="F29" s="2">
        <v>70</v>
      </c>
      <c r="G29" s="2">
        <v>89</v>
      </c>
      <c r="H29" s="2">
        <v>97</v>
      </c>
      <c r="I29" s="3">
        <f t="shared" si="0"/>
        <v>324</v>
      </c>
      <c r="J29" s="3">
        <v>500</v>
      </c>
      <c r="K29" s="4">
        <f t="shared" si="1"/>
        <v>0.64800000000000002</v>
      </c>
      <c r="L29" s="24">
        <f t="shared" si="2"/>
        <v>0.35199999999999998</v>
      </c>
    </row>
    <row r="30" spans="1:12">
      <c r="A30" s="23" t="s">
        <v>76</v>
      </c>
      <c r="B30" s="1" t="s">
        <v>77</v>
      </c>
      <c r="C30" s="1" t="s">
        <v>26</v>
      </c>
      <c r="D30" s="2">
        <v>65</v>
      </c>
      <c r="E30" s="2">
        <v>90</v>
      </c>
      <c r="F30" s="2">
        <v>91</v>
      </c>
      <c r="G30" s="2">
        <v>85</v>
      </c>
      <c r="H30" s="2">
        <v>10</v>
      </c>
      <c r="I30" s="3">
        <f t="shared" si="0"/>
        <v>341</v>
      </c>
      <c r="J30" s="3">
        <v>500</v>
      </c>
      <c r="K30" s="4">
        <f t="shared" si="1"/>
        <v>0.68200000000000005</v>
      </c>
      <c r="L30" s="24">
        <f t="shared" si="2"/>
        <v>0.31799999999999995</v>
      </c>
    </row>
    <row r="31" spans="1:12">
      <c r="A31" s="23" t="s">
        <v>78</v>
      </c>
      <c r="B31" s="1" t="s">
        <v>79</v>
      </c>
      <c r="C31" s="1" t="s">
        <v>29</v>
      </c>
      <c r="D31" s="2">
        <v>83</v>
      </c>
      <c r="E31" s="2">
        <v>46</v>
      </c>
      <c r="F31" s="2">
        <v>99</v>
      </c>
      <c r="G31" s="2">
        <v>36</v>
      </c>
      <c r="H31" s="2">
        <v>89</v>
      </c>
      <c r="I31" s="3">
        <f t="shared" si="0"/>
        <v>353</v>
      </c>
      <c r="J31" s="3">
        <v>500</v>
      </c>
      <c r="K31" s="4">
        <f t="shared" si="1"/>
        <v>0.70599999999999996</v>
      </c>
      <c r="L31" s="24">
        <f t="shared" si="2"/>
        <v>0.29400000000000004</v>
      </c>
    </row>
    <row r="32" spans="1:12">
      <c r="A32" s="23" t="s">
        <v>80</v>
      </c>
      <c r="B32" s="1" t="s">
        <v>81</v>
      </c>
      <c r="C32" s="1" t="s">
        <v>32</v>
      </c>
      <c r="D32" s="2">
        <v>10</v>
      </c>
      <c r="E32" s="2">
        <v>66</v>
      </c>
      <c r="F32" s="2">
        <v>40</v>
      </c>
      <c r="G32" s="2">
        <v>22</v>
      </c>
      <c r="H32" s="2">
        <v>38</v>
      </c>
      <c r="I32" s="3">
        <f t="shared" si="0"/>
        <v>176</v>
      </c>
      <c r="J32" s="3">
        <v>500</v>
      </c>
      <c r="K32" s="4">
        <f t="shared" si="1"/>
        <v>0.35199999999999998</v>
      </c>
      <c r="L32" s="24">
        <f t="shared" si="2"/>
        <v>0.64800000000000002</v>
      </c>
    </row>
    <row r="33" spans="1:12">
      <c r="A33" s="23" t="s">
        <v>82</v>
      </c>
      <c r="B33" s="1" t="s">
        <v>83</v>
      </c>
      <c r="C33" s="1" t="s">
        <v>35</v>
      </c>
      <c r="D33" s="2">
        <v>37</v>
      </c>
      <c r="E33" s="2">
        <v>30</v>
      </c>
      <c r="F33" s="2">
        <v>19</v>
      </c>
      <c r="G33" s="2">
        <v>77</v>
      </c>
      <c r="H33" s="2">
        <v>67</v>
      </c>
      <c r="I33" s="3">
        <f t="shared" si="0"/>
        <v>230</v>
      </c>
      <c r="J33" s="3">
        <v>500</v>
      </c>
      <c r="K33" s="4">
        <f t="shared" si="1"/>
        <v>0.46</v>
      </c>
      <c r="L33" s="24">
        <f t="shared" si="2"/>
        <v>0.54</v>
      </c>
    </row>
    <row r="34" spans="1:12">
      <c r="A34" s="23" t="s">
        <v>84</v>
      </c>
      <c r="B34" s="1" t="s">
        <v>85</v>
      </c>
      <c r="C34" s="1" t="s">
        <v>14</v>
      </c>
      <c r="D34" s="2">
        <v>83</v>
      </c>
      <c r="E34" s="2">
        <v>46</v>
      </c>
      <c r="F34" s="2">
        <v>17</v>
      </c>
      <c r="G34" s="2">
        <v>94</v>
      </c>
      <c r="H34" s="2">
        <v>92</v>
      </c>
      <c r="I34" s="3">
        <f t="shared" si="0"/>
        <v>332</v>
      </c>
      <c r="J34" s="3">
        <v>500</v>
      </c>
      <c r="K34" s="4">
        <f t="shared" si="1"/>
        <v>0.66400000000000003</v>
      </c>
      <c r="L34" s="24">
        <f t="shared" si="2"/>
        <v>0.33599999999999997</v>
      </c>
    </row>
    <row r="35" spans="1:12">
      <c r="A35" s="23" t="s">
        <v>86</v>
      </c>
      <c r="B35" s="1" t="s">
        <v>87</v>
      </c>
      <c r="C35" s="1" t="s">
        <v>17</v>
      </c>
      <c r="D35" s="2">
        <v>84</v>
      </c>
      <c r="E35" s="2">
        <v>59</v>
      </c>
      <c r="F35" s="2">
        <v>41</v>
      </c>
      <c r="G35" s="2">
        <v>17</v>
      </c>
      <c r="H35" s="2">
        <v>22</v>
      </c>
      <c r="I35" s="3">
        <f t="shared" si="0"/>
        <v>223</v>
      </c>
      <c r="J35" s="3">
        <v>500</v>
      </c>
      <c r="K35" s="4">
        <f t="shared" si="1"/>
        <v>0.44600000000000001</v>
      </c>
      <c r="L35" s="24">
        <f t="shared" si="2"/>
        <v>0.55400000000000005</v>
      </c>
    </row>
    <row r="36" spans="1:12">
      <c r="A36" s="23" t="s">
        <v>88</v>
      </c>
      <c r="B36" s="1" t="s">
        <v>89</v>
      </c>
      <c r="C36" s="1" t="s">
        <v>20</v>
      </c>
      <c r="D36" s="2">
        <v>82</v>
      </c>
      <c r="E36" s="2">
        <v>54</v>
      </c>
      <c r="F36" s="2">
        <v>79</v>
      </c>
      <c r="G36" s="2">
        <v>61</v>
      </c>
      <c r="H36" s="2">
        <v>47</v>
      </c>
      <c r="I36" s="3">
        <f t="shared" si="0"/>
        <v>323</v>
      </c>
      <c r="J36" s="3">
        <v>500</v>
      </c>
      <c r="K36" s="4">
        <f t="shared" si="1"/>
        <v>0.64600000000000002</v>
      </c>
      <c r="L36" s="24">
        <f t="shared" si="2"/>
        <v>0.35399999999999998</v>
      </c>
    </row>
    <row r="37" spans="1:12">
      <c r="A37" s="23" t="s">
        <v>90</v>
      </c>
      <c r="B37" s="1" t="s">
        <v>91</v>
      </c>
      <c r="C37" s="1" t="s">
        <v>23</v>
      </c>
      <c r="D37" s="2">
        <v>47</v>
      </c>
      <c r="E37" s="2">
        <v>23</v>
      </c>
      <c r="F37" s="2">
        <v>19</v>
      </c>
      <c r="G37" s="2">
        <v>64</v>
      </c>
      <c r="H37" s="2">
        <v>61</v>
      </c>
      <c r="I37" s="3">
        <f t="shared" si="0"/>
        <v>214</v>
      </c>
      <c r="J37" s="3">
        <v>500</v>
      </c>
      <c r="K37" s="4">
        <f t="shared" si="1"/>
        <v>0.42799999999999999</v>
      </c>
      <c r="L37" s="24">
        <f t="shared" si="2"/>
        <v>0.57200000000000006</v>
      </c>
    </row>
    <row r="38" spans="1:12">
      <c r="A38" s="23" t="s">
        <v>92</v>
      </c>
      <c r="B38" s="1" t="s">
        <v>93</v>
      </c>
      <c r="C38" s="1" t="s">
        <v>26</v>
      </c>
      <c r="D38" s="2">
        <v>91</v>
      </c>
      <c r="E38" s="2">
        <v>13</v>
      </c>
      <c r="F38" s="2">
        <v>79</v>
      </c>
      <c r="G38" s="2">
        <v>85</v>
      </c>
      <c r="H38" s="2">
        <v>67</v>
      </c>
      <c r="I38" s="3">
        <f t="shared" si="0"/>
        <v>335</v>
      </c>
      <c r="J38" s="3">
        <v>500</v>
      </c>
      <c r="K38" s="4">
        <f t="shared" si="1"/>
        <v>0.67</v>
      </c>
      <c r="L38" s="24">
        <f t="shared" si="2"/>
        <v>0.32999999999999996</v>
      </c>
    </row>
    <row r="39" spans="1:12">
      <c r="A39" s="23" t="s">
        <v>94</v>
      </c>
      <c r="B39" s="1" t="s">
        <v>95</v>
      </c>
      <c r="C39" s="1" t="s">
        <v>29</v>
      </c>
      <c r="D39" s="2">
        <v>66</v>
      </c>
      <c r="E39" s="2">
        <v>59</v>
      </c>
      <c r="F39" s="2">
        <v>25</v>
      </c>
      <c r="G39" s="2">
        <v>55</v>
      </c>
      <c r="H39" s="2">
        <v>59</v>
      </c>
      <c r="I39" s="3">
        <f t="shared" si="0"/>
        <v>264</v>
      </c>
      <c r="J39" s="3">
        <v>500</v>
      </c>
      <c r="K39" s="4">
        <f t="shared" si="1"/>
        <v>0.52800000000000002</v>
      </c>
      <c r="L39" s="24">
        <f t="shared" si="2"/>
        <v>0.47199999999999998</v>
      </c>
    </row>
    <row r="40" spans="1:12">
      <c r="A40" s="23" t="s">
        <v>96</v>
      </c>
      <c r="B40" s="1" t="s">
        <v>97</v>
      </c>
      <c r="C40" s="1" t="s">
        <v>32</v>
      </c>
      <c r="D40" s="2">
        <v>70</v>
      </c>
      <c r="E40" s="2">
        <v>18</v>
      </c>
      <c r="F40" s="2">
        <v>88</v>
      </c>
      <c r="G40" s="2">
        <v>46</v>
      </c>
      <c r="H40" s="2">
        <v>52</v>
      </c>
      <c r="I40" s="3">
        <f t="shared" si="0"/>
        <v>274</v>
      </c>
      <c r="J40" s="3">
        <v>500</v>
      </c>
      <c r="K40" s="4">
        <f t="shared" si="1"/>
        <v>0.54800000000000004</v>
      </c>
      <c r="L40" s="24">
        <f t="shared" si="2"/>
        <v>0.45199999999999996</v>
      </c>
    </row>
    <row r="41" spans="1:12">
      <c r="A41" s="23" t="s">
        <v>98</v>
      </c>
      <c r="B41" s="1" t="s">
        <v>99</v>
      </c>
      <c r="C41" s="1" t="s">
        <v>35</v>
      </c>
      <c r="D41" s="2">
        <v>37</v>
      </c>
      <c r="E41" s="2">
        <v>60</v>
      </c>
      <c r="F41" s="2">
        <v>44</v>
      </c>
      <c r="G41" s="2">
        <v>61</v>
      </c>
      <c r="H41" s="2">
        <v>30</v>
      </c>
      <c r="I41" s="3">
        <f t="shared" si="0"/>
        <v>232</v>
      </c>
      <c r="J41" s="3">
        <v>500</v>
      </c>
      <c r="K41" s="4">
        <f t="shared" si="1"/>
        <v>0.46400000000000002</v>
      </c>
      <c r="L41" s="24">
        <f t="shared" si="2"/>
        <v>0.53600000000000003</v>
      </c>
    </row>
    <row r="42" spans="1:12">
      <c r="A42" s="23" t="s">
        <v>100</v>
      </c>
      <c r="B42" s="1" t="s">
        <v>101</v>
      </c>
      <c r="C42" s="1" t="s">
        <v>14</v>
      </c>
      <c r="D42" s="2">
        <v>16</v>
      </c>
      <c r="E42" s="2">
        <v>46</v>
      </c>
      <c r="F42" s="2">
        <v>33</v>
      </c>
      <c r="G42" s="2">
        <v>54</v>
      </c>
      <c r="H42" s="2">
        <v>58</v>
      </c>
      <c r="I42" s="3">
        <f t="shared" si="0"/>
        <v>207</v>
      </c>
      <c r="J42" s="3">
        <v>500</v>
      </c>
      <c r="K42" s="4">
        <f t="shared" si="1"/>
        <v>0.41399999999999998</v>
      </c>
      <c r="L42" s="24">
        <f t="shared" si="2"/>
        <v>0.58600000000000008</v>
      </c>
    </row>
    <row r="43" spans="1:12">
      <c r="A43" s="23" t="s">
        <v>102</v>
      </c>
      <c r="B43" s="1" t="s">
        <v>103</v>
      </c>
      <c r="C43" s="1" t="s">
        <v>17</v>
      </c>
      <c r="D43" s="2">
        <v>47</v>
      </c>
      <c r="E43" s="2">
        <v>97</v>
      </c>
      <c r="F43" s="2">
        <v>74</v>
      </c>
      <c r="G43" s="2">
        <v>97</v>
      </c>
      <c r="H43" s="2">
        <v>56</v>
      </c>
      <c r="I43" s="3">
        <f t="shared" si="0"/>
        <v>371</v>
      </c>
      <c r="J43" s="3">
        <v>500</v>
      </c>
      <c r="K43" s="4">
        <f t="shared" si="1"/>
        <v>0.74199999999999999</v>
      </c>
      <c r="L43" s="24">
        <f t="shared" si="2"/>
        <v>0.25800000000000001</v>
      </c>
    </row>
    <row r="44" spans="1:12">
      <c r="A44" s="23" t="s">
        <v>104</v>
      </c>
      <c r="B44" s="1" t="s">
        <v>105</v>
      </c>
      <c r="C44" s="1" t="s">
        <v>20</v>
      </c>
      <c r="D44" s="2">
        <v>86</v>
      </c>
      <c r="E44" s="2">
        <v>22</v>
      </c>
      <c r="F44" s="2">
        <v>10</v>
      </c>
      <c r="G44" s="2">
        <v>60</v>
      </c>
      <c r="H44" s="2">
        <v>28</v>
      </c>
      <c r="I44" s="3">
        <f t="shared" si="0"/>
        <v>206</v>
      </c>
      <c r="J44" s="3">
        <v>500</v>
      </c>
      <c r="K44" s="4">
        <f t="shared" si="1"/>
        <v>0.41199999999999998</v>
      </c>
      <c r="L44" s="24">
        <f t="shared" si="2"/>
        <v>0.58800000000000008</v>
      </c>
    </row>
    <row r="45" spans="1:12">
      <c r="A45" s="23" t="s">
        <v>106</v>
      </c>
      <c r="B45" s="1" t="s">
        <v>107</v>
      </c>
      <c r="C45" s="1" t="s">
        <v>23</v>
      </c>
      <c r="D45" s="2">
        <v>74</v>
      </c>
      <c r="E45" s="2">
        <v>17</v>
      </c>
      <c r="F45" s="2">
        <v>45</v>
      </c>
      <c r="G45" s="2">
        <v>64</v>
      </c>
      <c r="H45" s="2">
        <v>13</v>
      </c>
      <c r="I45" s="3">
        <f t="shared" si="0"/>
        <v>213</v>
      </c>
      <c r="J45" s="3">
        <v>500</v>
      </c>
      <c r="K45" s="4">
        <f t="shared" si="1"/>
        <v>0.42599999999999999</v>
      </c>
      <c r="L45" s="24">
        <f t="shared" si="2"/>
        <v>0.57400000000000007</v>
      </c>
    </row>
    <row r="46" spans="1:12">
      <c r="A46" s="23" t="s">
        <v>108</v>
      </c>
      <c r="B46" s="1" t="s">
        <v>109</v>
      </c>
      <c r="C46" s="1" t="s">
        <v>26</v>
      </c>
      <c r="D46" s="2">
        <v>80</v>
      </c>
      <c r="E46" s="2">
        <v>51</v>
      </c>
      <c r="F46" s="2">
        <v>15</v>
      </c>
      <c r="G46" s="2">
        <v>97</v>
      </c>
      <c r="H46" s="2">
        <v>42</v>
      </c>
      <c r="I46" s="3">
        <f t="shared" si="0"/>
        <v>285</v>
      </c>
      <c r="J46" s="3">
        <v>500</v>
      </c>
      <c r="K46" s="4">
        <f t="shared" si="1"/>
        <v>0.56999999999999995</v>
      </c>
      <c r="L46" s="24">
        <f t="shared" si="2"/>
        <v>0.43000000000000005</v>
      </c>
    </row>
    <row r="47" spans="1:12">
      <c r="A47" s="23" t="s">
        <v>110</v>
      </c>
      <c r="B47" s="1" t="s">
        <v>111</v>
      </c>
      <c r="C47" s="1" t="s">
        <v>29</v>
      </c>
      <c r="D47" s="2">
        <v>49</v>
      </c>
      <c r="E47" s="2">
        <v>82</v>
      </c>
      <c r="F47" s="2">
        <v>95</v>
      </c>
      <c r="G47" s="2">
        <v>46</v>
      </c>
      <c r="H47" s="2">
        <v>78</v>
      </c>
      <c r="I47" s="3">
        <f t="shared" si="0"/>
        <v>350</v>
      </c>
      <c r="J47" s="3">
        <v>500</v>
      </c>
      <c r="K47" s="4">
        <f t="shared" si="1"/>
        <v>0.7</v>
      </c>
      <c r="L47" s="24">
        <f t="shared" si="2"/>
        <v>0.30000000000000004</v>
      </c>
    </row>
    <row r="48" spans="1:12">
      <c r="A48" s="23" t="s">
        <v>112</v>
      </c>
      <c r="B48" s="1" t="s">
        <v>113</v>
      </c>
      <c r="C48" s="1" t="s">
        <v>32</v>
      </c>
      <c r="D48" s="2">
        <v>17</v>
      </c>
      <c r="E48" s="2">
        <v>88</v>
      </c>
      <c r="F48" s="2">
        <v>12</v>
      </c>
      <c r="G48" s="2">
        <v>54</v>
      </c>
      <c r="H48" s="2">
        <v>21</v>
      </c>
      <c r="I48" s="3">
        <f t="shared" si="0"/>
        <v>192</v>
      </c>
      <c r="J48" s="3">
        <v>500</v>
      </c>
      <c r="K48" s="4">
        <f t="shared" si="1"/>
        <v>0.38400000000000001</v>
      </c>
      <c r="L48" s="24">
        <f t="shared" si="2"/>
        <v>0.61599999999999999</v>
      </c>
    </row>
    <row r="49" spans="1:12">
      <c r="A49" s="23" t="s">
        <v>114</v>
      </c>
      <c r="B49" s="1" t="s">
        <v>115</v>
      </c>
      <c r="C49" s="1" t="s">
        <v>35</v>
      </c>
      <c r="D49" s="2">
        <v>74</v>
      </c>
      <c r="E49" s="2">
        <v>16</v>
      </c>
      <c r="F49" s="2">
        <v>74</v>
      </c>
      <c r="G49" s="2">
        <v>36</v>
      </c>
      <c r="H49" s="2">
        <v>33</v>
      </c>
      <c r="I49" s="3">
        <f t="shared" si="0"/>
        <v>233</v>
      </c>
      <c r="J49" s="3">
        <v>500</v>
      </c>
      <c r="K49" s="4">
        <f t="shared" si="1"/>
        <v>0.46600000000000003</v>
      </c>
      <c r="L49" s="24">
        <f t="shared" si="2"/>
        <v>0.53400000000000003</v>
      </c>
    </row>
    <row r="50" spans="1:12">
      <c r="A50" s="23" t="s">
        <v>116</v>
      </c>
      <c r="B50" s="1" t="s">
        <v>117</v>
      </c>
      <c r="C50" s="1" t="s">
        <v>14</v>
      </c>
      <c r="D50" s="2">
        <v>73</v>
      </c>
      <c r="E50" s="2">
        <v>72</v>
      </c>
      <c r="F50" s="2">
        <v>38</v>
      </c>
      <c r="G50" s="2">
        <v>19</v>
      </c>
      <c r="H50" s="2">
        <v>90</v>
      </c>
      <c r="I50" s="3">
        <f t="shared" si="0"/>
        <v>292</v>
      </c>
      <c r="J50" s="3">
        <v>500</v>
      </c>
      <c r="K50" s="4">
        <f t="shared" si="1"/>
        <v>0.58399999999999996</v>
      </c>
      <c r="L50" s="24">
        <f t="shared" si="2"/>
        <v>0.41600000000000004</v>
      </c>
    </row>
    <row r="51" spans="1:12">
      <c r="A51" s="23" t="s">
        <v>118</v>
      </c>
      <c r="B51" s="1" t="s">
        <v>119</v>
      </c>
      <c r="C51" s="1" t="s">
        <v>17</v>
      </c>
      <c r="D51" s="2">
        <v>17</v>
      </c>
      <c r="E51" s="2">
        <v>84</v>
      </c>
      <c r="F51" s="2">
        <v>90</v>
      </c>
      <c r="G51" s="2">
        <v>77</v>
      </c>
      <c r="H51" s="2">
        <v>72</v>
      </c>
      <c r="I51" s="3">
        <f t="shared" si="0"/>
        <v>340</v>
      </c>
      <c r="J51" s="3">
        <v>500</v>
      </c>
      <c r="K51" s="4">
        <f t="shared" si="1"/>
        <v>0.68</v>
      </c>
      <c r="L51" s="24">
        <f t="shared" si="2"/>
        <v>0.31999999999999995</v>
      </c>
    </row>
    <row r="52" spans="1:12">
      <c r="A52" s="23" t="s">
        <v>120</v>
      </c>
      <c r="B52" s="1" t="s">
        <v>121</v>
      </c>
      <c r="C52" s="1" t="s">
        <v>20</v>
      </c>
      <c r="D52" s="2">
        <v>52</v>
      </c>
      <c r="E52" s="2">
        <v>36</v>
      </c>
      <c r="F52" s="2">
        <v>84</v>
      </c>
      <c r="G52" s="2">
        <v>41</v>
      </c>
      <c r="H52" s="2">
        <v>57</v>
      </c>
      <c r="I52" s="3">
        <f t="shared" si="0"/>
        <v>270</v>
      </c>
      <c r="J52" s="3">
        <v>500</v>
      </c>
      <c r="K52" s="4">
        <f t="shared" si="1"/>
        <v>0.54</v>
      </c>
      <c r="L52" s="24">
        <f t="shared" si="2"/>
        <v>0.45999999999999996</v>
      </c>
    </row>
    <row r="53" spans="1:12">
      <c r="A53" s="23" t="s">
        <v>122</v>
      </c>
      <c r="B53" s="1" t="s">
        <v>123</v>
      </c>
      <c r="C53" s="1" t="s">
        <v>23</v>
      </c>
      <c r="D53" s="2">
        <v>65</v>
      </c>
      <c r="E53" s="2">
        <v>67</v>
      </c>
      <c r="F53" s="2">
        <v>72</v>
      </c>
      <c r="G53" s="2">
        <v>22</v>
      </c>
      <c r="H53" s="2">
        <v>23</v>
      </c>
      <c r="I53" s="3">
        <f t="shared" si="0"/>
        <v>249</v>
      </c>
      <c r="J53" s="3">
        <v>500</v>
      </c>
      <c r="K53" s="4">
        <f t="shared" si="1"/>
        <v>0.498</v>
      </c>
      <c r="L53" s="24">
        <f t="shared" si="2"/>
        <v>0.502</v>
      </c>
    </row>
    <row r="54" spans="1:12">
      <c r="A54" s="23" t="s">
        <v>124</v>
      </c>
      <c r="B54" s="1" t="s">
        <v>125</v>
      </c>
      <c r="C54" s="1" t="s">
        <v>26</v>
      </c>
      <c r="D54" s="2">
        <v>88</v>
      </c>
      <c r="E54" s="2">
        <v>39</v>
      </c>
      <c r="F54" s="2">
        <v>25</v>
      </c>
      <c r="G54" s="2">
        <v>99</v>
      </c>
      <c r="H54" s="2">
        <v>71</v>
      </c>
      <c r="I54" s="3">
        <f t="shared" si="0"/>
        <v>322</v>
      </c>
      <c r="J54" s="3">
        <v>500</v>
      </c>
      <c r="K54" s="4">
        <f t="shared" si="1"/>
        <v>0.64400000000000002</v>
      </c>
      <c r="L54" s="24">
        <f t="shared" si="2"/>
        <v>0.35599999999999998</v>
      </c>
    </row>
    <row r="55" spans="1:12">
      <c r="A55" s="23" t="s">
        <v>126</v>
      </c>
      <c r="B55" s="1" t="s">
        <v>127</v>
      </c>
      <c r="C55" s="1" t="s">
        <v>29</v>
      </c>
      <c r="D55" s="2">
        <v>23</v>
      </c>
      <c r="E55" s="2">
        <v>14</v>
      </c>
      <c r="F55" s="2">
        <v>15</v>
      </c>
      <c r="G55" s="2">
        <v>58</v>
      </c>
      <c r="H55" s="2">
        <v>79</v>
      </c>
      <c r="I55" s="3">
        <f t="shared" si="0"/>
        <v>189</v>
      </c>
      <c r="J55" s="3">
        <v>500</v>
      </c>
      <c r="K55" s="4">
        <f t="shared" si="1"/>
        <v>0.378</v>
      </c>
      <c r="L55" s="24">
        <f t="shared" si="2"/>
        <v>0.622</v>
      </c>
    </row>
    <row r="56" spans="1:12">
      <c r="A56" s="23" t="s">
        <v>128</v>
      </c>
      <c r="B56" s="1" t="s">
        <v>129</v>
      </c>
      <c r="C56" s="1" t="s">
        <v>32</v>
      </c>
      <c r="D56" s="2">
        <v>15</v>
      </c>
      <c r="E56" s="2">
        <v>67</v>
      </c>
      <c r="F56" s="2">
        <v>48</v>
      </c>
      <c r="G56" s="2">
        <v>95</v>
      </c>
      <c r="H56" s="2">
        <v>35</v>
      </c>
      <c r="I56" s="3">
        <f t="shared" si="0"/>
        <v>260</v>
      </c>
      <c r="J56" s="3">
        <v>500</v>
      </c>
      <c r="K56" s="4">
        <f t="shared" si="1"/>
        <v>0.52</v>
      </c>
      <c r="L56" s="24">
        <f t="shared" si="2"/>
        <v>0.48</v>
      </c>
    </row>
    <row r="57" spans="1:12">
      <c r="A57" s="23" t="s">
        <v>130</v>
      </c>
      <c r="B57" s="1" t="s">
        <v>131</v>
      </c>
      <c r="C57" s="1" t="s">
        <v>35</v>
      </c>
      <c r="D57" s="2">
        <v>18</v>
      </c>
      <c r="E57" s="2">
        <v>35</v>
      </c>
      <c r="F57" s="2">
        <v>82</v>
      </c>
      <c r="G57" s="2">
        <v>31</v>
      </c>
      <c r="H57" s="2">
        <v>26</v>
      </c>
      <c r="I57" s="3">
        <f t="shared" si="0"/>
        <v>192</v>
      </c>
      <c r="J57" s="3">
        <v>500</v>
      </c>
      <c r="K57" s="4">
        <f t="shared" si="1"/>
        <v>0.38400000000000001</v>
      </c>
      <c r="L57" s="24">
        <f t="shared" si="2"/>
        <v>0.61599999999999999</v>
      </c>
    </row>
    <row r="58" spans="1:12">
      <c r="A58" s="23" t="s">
        <v>132</v>
      </c>
      <c r="B58" s="1" t="s">
        <v>133</v>
      </c>
      <c r="C58" s="1" t="s">
        <v>14</v>
      </c>
      <c r="D58" s="2">
        <v>57</v>
      </c>
      <c r="E58" s="2">
        <v>60</v>
      </c>
      <c r="F58" s="2">
        <v>42</v>
      </c>
      <c r="G58" s="2">
        <v>81</v>
      </c>
      <c r="H58" s="2">
        <v>44</v>
      </c>
      <c r="I58" s="3">
        <f t="shared" si="0"/>
        <v>284</v>
      </c>
      <c r="J58" s="3">
        <v>500</v>
      </c>
      <c r="K58" s="4">
        <f t="shared" si="1"/>
        <v>0.56799999999999995</v>
      </c>
      <c r="L58" s="24">
        <f t="shared" si="2"/>
        <v>0.43200000000000005</v>
      </c>
    </row>
    <row r="59" spans="1:12">
      <c r="A59" s="23" t="s">
        <v>134</v>
      </c>
      <c r="B59" s="1" t="s">
        <v>135</v>
      </c>
      <c r="C59" s="1" t="s">
        <v>17</v>
      </c>
      <c r="D59" s="2">
        <v>34</v>
      </c>
      <c r="E59" s="2">
        <v>97</v>
      </c>
      <c r="F59" s="2">
        <v>66</v>
      </c>
      <c r="G59" s="2">
        <v>45</v>
      </c>
      <c r="H59" s="2">
        <v>50</v>
      </c>
      <c r="I59" s="3">
        <f t="shared" si="0"/>
        <v>292</v>
      </c>
      <c r="J59" s="3">
        <v>500</v>
      </c>
      <c r="K59" s="4">
        <f t="shared" si="1"/>
        <v>0.58399999999999996</v>
      </c>
      <c r="L59" s="24">
        <f t="shared" si="2"/>
        <v>0.41600000000000004</v>
      </c>
    </row>
    <row r="60" spans="1:12">
      <c r="A60" s="23" t="s">
        <v>136</v>
      </c>
      <c r="B60" s="1" t="s">
        <v>137</v>
      </c>
      <c r="C60" s="1" t="s">
        <v>20</v>
      </c>
      <c r="D60" s="2">
        <v>83</v>
      </c>
      <c r="E60" s="2">
        <v>12</v>
      </c>
      <c r="F60" s="2">
        <v>70</v>
      </c>
      <c r="G60" s="2">
        <v>83</v>
      </c>
      <c r="H60" s="2">
        <v>52</v>
      </c>
      <c r="I60" s="3">
        <f t="shared" si="0"/>
        <v>300</v>
      </c>
      <c r="J60" s="3">
        <v>500</v>
      </c>
      <c r="K60" s="4">
        <f t="shared" si="1"/>
        <v>0.6</v>
      </c>
      <c r="L60" s="24">
        <f t="shared" si="2"/>
        <v>0.4</v>
      </c>
    </row>
    <row r="61" spans="1:12">
      <c r="A61" s="23" t="s">
        <v>138</v>
      </c>
      <c r="B61" s="1" t="s">
        <v>139</v>
      </c>
      <c r="C61" s="1" t="s">
        <v>23</v>
      </c>
      <c r="D61" s="2">
        <v>76</v>
      </c>
      <c r="E61" s="2">
        <v>55</v>
      </c>
      <c r="F61" s="2">
        <v>56</v>
      </c>
      <c r="G61" s="2">
        <v>16</v>
      </c>
      <c r="H61" s="2">
        <v>61</v>
      </c>
      <c r="I61" s="3">
        <f t="shared" si="0"/>
        <v>264</v>
      </c>
      <c r="J61" s="3">
        <v>500</v>
      </c>
      <c r="K61" s="4">
        <f t="shared" si="1"/>
        <v>0.52800000000000002</v>
      </c>
      <c r="L61" s="24">
        <f t="shared" si="2"/>
        <v>0.47199999999999998</v>
      </c>
    </row>
    <row r="62" spans="1:12">
      <c r="A62" s="23" t="s">
        <v>140</v>
      </c>
      <c r="B62" s="1" t="s">
        <v>141</v>
      </c>
      <c r="C62" s="1" t="s">
        <v>26</v>
      </c>
      <c r="D62" s="2">
        <v>40</v>
      </c>
      <c r="E62" s="2">
        <v>70</v>
      </c>
      <c r="F62" s="2">
        <v>19</v>
      </c>
      <c r="G62" s="2">
        <v>36</v>
      </c>
      <c r="H62" s="2">
        <v>52</v>
      </c>
      <c r="I62" s="3">
        <f t="shared" si="0"/>
        <v>217</v>
      </c>
      <c r="J62" s="3">
        <v>500</v>
      </c>
      <c r="K62" s="4">
        <f t="shared" si="1"/>
        <v>0.434</v>
      </c>
      <c r="L62" s="24">
        <f t="shared" si="2"/>
        <v>0.56600000000000006</v>
      </c>
    </row>
    <row r="63" spans="1:12">
      <c r="A63" s="23" t="s">
        <v>142</v>
      </c>
      <c r="B63" s="1" t="s">
        <v>143</v>
      </c>
      <c r="C63" s="1" t="s">
        <v>29</v>
      </c>
      <c r="D63" s="2">
        <v>44</v>
      </c>
      <c r="E63" s="2">
        <v>60</v>
      </c>
      <c r="F63" s="2">
        <v>71</v>
      </c>
      <c r="G63" s="2">
        <v>34</v>
      </c>
      <c r="H63" s="2">
        <v>37</v>
      </c>
      <c r="I63" s="3">
        <f t="shared" si="0"/>
        <v>246</v>
      </c>
      <c r="J63" s="3">
        <v>500</v>
      </c>
      <c r="K63" s="4">
        <f t="shared" si="1"/>
        <v>0.49199999999999999</v>
      </c>
      <c r="L63" s="24">
        <f t="shared" si="2"/>
        <v>0.50800000000000001</v>
      </c>
    </row>
    <row r="64" spans="1:12">
      <c r="A64" s="23" t="s">
        <v>144</v>
      </c>
      <c r="B64" s="1" t="s">
        <v>145</v>
      </c>
      <c r="C64" s="1" t="s">
        <v>32</v>
      </c>
      <c r="D64" s="2">
        <v>43</v>
      </c>
      <c r="E64" s="2">
        <v>78</v>
      </c>
      <c r="F64" s="2">
        <v>15</v>
      </c>
      <c r="G64" s="2">
        <v>98</v>
      </c>
      <c r="H64" s="2">
        <v>33</v>
      </c>
      <c r="I64" s="3">
        <f t="shared" si="0"/>
        <v>267</v>
      </c>
      <c r="J64" s="3">
        <v>500</v>
      </c>
      <c r="K64" s="4">
        <f t="shared" si="1"/>
        <v>0.53400000000000003</v>
      </c>
      <c r="L64" s="24">
        <f t="shared" si="2"/>
        <v>0.46599999999999997</v>
      </c>
    </row>
    <row r="65" spans="1:12">
      <c r="A65" s="23" t="s">
        <v>146</v>
      </c>
      <c r="B65" s="1" t="s">
        <v>147</v>
      </c>
      <c r="C65" s="1" t="s">
        <v>35</v>
      </c>
      <c r="D65" s="2">
        <v>75</v>
      </c>
      <c r="E65" s="2">
        <v>75</v>
      </c>
      <c r="F65" s="2">
        <v>89</v>
      </c>
      <c r="G65" s="2">
        <v>97</v>
      </c>
      <c r="H65" s="2">
        <v>49</v>
      </c>
      <c r="I65" s="3">
        <f t="shared" si="0"/>
        <v>385</v>
      </c>
      <c r="J65" s="3">
        <v>500</v>
      </c>
      <c r="K65" s="4">
        <f t="shared" si="1"/>
        <v>0.77</v>
      </c>
      <c r="L65" s="24">
        <f t="shared" si="2"/>
        <v>0.22999999999999998</v>
      </c>
    </row>
    <row r="66" spans="1:12">
      <c r="A66" s="23" t="s">
        <v>148</v>
      </c>
      <c r="B66" s="1" t="s">
        <v>149</v>
      </c>
      <c r="C66" s="1" t="s">
        <v>14</v>
      </c>
      <c r="D66" s="2">
        <v>74</v>
      </c>
      <c r="E66" s="2">
        <v>51</v>
      </c>
      <c r="F66" s="2">
        <v>97</v>
      </c>
      <c r="G66" s="2">
        <v>73</v>
      </c>
      <c r="H66" s="2">
        <v>33</v>
      </c>
      <c r="I66" s="3">
        <f t="shared" si="0"/>
        <v>328</v>
      </c>
      <c r="J66" s="3">
        <v>500</v>
      </c>
      <c r="K66" s="4">
        <f t="shared" si="1"/>
        <v>0.65600000000000003</v>
      </c>
      <c r="L66" s="24">
        <f t="shared" si="2"/>
        <v>0.34399999999999997</v>
      </c>
    </row>
    <row r="67" spans="1:12">
      <c r="A67" s="23" t="s">
        <v>150</v>
      </c>
      <c r="B67" s="1" t="s">
        <v>151</v>
      </c>
      <c r="C67" s="1" t="s">
        <v>17</v>
      </c>
      <c r="D67" s="2">
        <v>44</v>
      </c>
      <c r="E67" s="2">
        <v>36</v>
      </c>
      <c r="F67" s="2">
        <v>11</v>
      </c>
      <c r="G67" s="2">
        <v>45</v>
      </c>
      <c r="H67" s="2">
        <v>30</v>
      </c>
      <c r="I67" s="3">
        <f t="shared" ref="I67:I130" si="3">SUM(D67:H67)</f>
        <v>166</v>
      </c>
      <c r="J67" s="3">
        <v>500</v>
      </c>
      <c r="K67" s="4">
        <f t="shared" ref="K67:K130" si="4">I67/J67</f>
        <v>0.33200000000000002</v>
      </c>
      <c r="L67" s="24">
        <f t="shared" ref="L67:L130" si="5">100%-K67</f>
        <v>0.66799999999999993</v>
      </c>
    </row>
    <row r="68" spans="1:12">
      <c r="A68" s="23" t="s">
        <v>152</v>
      </c>
      <c r="B68" s="1" t="s">
        <v>153</v>
      </c>
      <c r="C68" s="1" t="s">
        <v>20</v>
      </c>
      <c r="D68" s="2">
        <v>87</v>
      </c>
      <c r="E68" s="2">
        <v>79</v>
      </c>
      <c r="F68" s="2">
        <v>46</v>
      </c>
      <c r="G68" s="2">
        <v>65</v>
      </c>
      <c r="H68" s="2">
        <v>65</v>
      </c>
      <c r="I68" s="3">
        <f t="shared" si="3"/>
        <v>342</v>
      </c>
      <c r="J68" s="3">
        <v>500</v>
      </c>
      <c r="K68" s="4">
        <f t="shared" si="4"/>
        <v>0.68400000000000005</v>
      </c>
      <c r="L68" s="24">
        <f t="shared" si="5"/>
        <v>0.31599999999999995</v>
      </c>
    </row>
    <row r="69" spans="1:12">
      <c r="A69" s="23" t="s">
        <v>154</v>
      </c>
      <c r="B69" s="1" t="s">
        <v>155</v>
      </c>
      <c r="C69" s="1" t="s">
        <v>23</v>
      </c>
      <c r="D69" s="2">
        <v>70</v>
      </c>
      <c r="E69" s="2">
        <v>52</v>
      </c>
      <c r="F69" s="2">
        <v>80</v>
      </c>
      <c r="G69" s="2">
        <v>43</v>
      </c>
      <c r="H69" s="2">
        <v>48</v>
      </c>
      <c r="I69" s="3">
        <f t="shared" si="3"/>
        <v>293</v>
      </c>
      <c r="J69" s="3">
        <v>500</v>
      </c>
      <c r="K69" s="4">
        <f t="shared" si="4"/>
        <v>0.58599999999999997</v>
      </c>
      <c r="L69" s="24">
        <f t="shared" si="5"/>
        <v>0.41400000000000003</v>
      </c>
    </row>
    <row r="70" spans="1:12">
      <c r="A70" s="23" t="s">
        <v>156</v>
      </c>
      <c r="B70" s="1" t="s">
        <v>157</v>
      </c>
      <c r="C70" s="1" t="s">
        <v>26</v>
      </c>
      <c r="D70" s="2">
        <v>45</v>
      </c>
      <c r="E70" s="2">
        <v>26</v>
      </c>
      <c r="F70" s="2">
        <v>27</v>
      </c>
      <c r="G70" s="2">
        <v>14</v>
      </c>
      <c r="H70" s="2">
        <v>59</v>
      </c>
      <c r="I70" s="3">
        <f t="shared" si="3"/>
        <v>171</v>
      </c>
      <c r="J70" s="3">
        <v>500</v>
      </c>
      <c r="K70" s="4">
        <f t="shared" si="4"/>
        <v>0.34200000000000003</v>
      </c>
      <c r="L70" s="24">
        <f t="shared" si="5"/>
        <v>0.65799999999999992</v>
      </c>
    </row>
    <row r="71" spans="1:12">
      <c r="A71" s="23" t="s">
        <v>158</v>
      </c>
      <c r="B71" s="1" t="s">
        <v>159</v>
      </c>
      <c r="C71" s="1" t="s">
        <v>29</v>
      </c>
      <c r="D71" s="2">
        <v>51</v>
      </c>
      <c r="E71" s="2">
        <v>26</v>
      </c>
      <c r="F71" s="2">
        <v>58</v>
      </c>
      <c r="G71" s="2">
        <v>83</v>
      </c>
      <c r="H71" s="2">
        <v>11</v>
      </c>
      <c r="I71" s="3">
        <f t="shared" si="3"/>
        <v>229</v>
      </c>
      <c r="J71" s="3">
        <v>500</v>
      </c>
      <c r="K71" s="4">
        <f t="shared" si="4"/>
        <v>0.45800000000000002</v>
      </c>
      <c r="L71" s="24">
        <f t="shared" si="5"/>
        <v>0.54200000000000004</v>
      </c>
    </row>
    <row r="72" spans="1:12">
      <c r="A72" s="23" t="s">
        <v>160</v>
      </c>
      <c r="B72" s="1" t="s">
        <v>161</v>
      </c>
      <c r="C72" s="1" t="s">
        <v>32</v>
      </c>
      <c r="D72" s="2">
        <v>68</v>
      </c>
      <c r="E72" s="2">
        <v>36</v>
      </c>
      <c r="F72" s="2">
        <v>15</v>
      </c>
      <c r="G72" s="2">
        <v>20</v>
      </c>
      <c r="H72" s="2">
        <v>17</v>
      </c>
      <c r="I72" s="3">
        <f t="shared" si="3"/>
        <v>156</v>
      </c>
      <c r="J72" s="3">
        <v>500</v>
      </c>
      <c r="K72" s="4">
        <f t="shared" si="4"/>
        <v>0.312</v>
      </c>
      <c r="L72" s="24">
        <f t="shared" si="5"/>
        <v>0.68799999999999994</v>
      </c>
    </row>
    <row r="73" spans="1:12">
      <c r="A73" s="23" t="s">
        <v>162</v>
      </c>
      <c r="B73" s="1" t="s">
        <v>163</v>
      </c>
      <c r="C73" s="1" t="s">
        <v>35</v>
      </c>
      <c r="D73" s="2">
        <v>32</v>
      </c>
      <c r="E73" s="2">
        <v>74</v>
      </c>
      <c r="F73" s="2">
        <v>18</v>
      </c>
      <c r="G73" s="2">
        <v>33</v>
      </c>
      <c r="H73" s="2">
        <v>51</v>
      </c>
      <c r="I73" s="3">
        <f t="shared" si="3"/>
        <v>208</v>
      </c>
      <c r="J73" s="3">
        <v>500</v>
      </c>
      <c r="K73" s="4">
        <f t="shared" si="4"/>
        <v>0.41599999999999998</v>
      </c>
      <c r="L73" s="24">
        <f t="shared" si="5"/>
        <v>0.58400000000000007</v>
      </c>
    </row>
    <row r="74" spans="1:12">
      <c r="A74" s="23" t="s">
        <v>164</v>
      </c>
      <c r="B74" s="1" t="s">
        <v>165</v>
      </c>
      <c r="C74" s="1" t="s">
        <v>14</v>
      </c>
      <c r="D74" s="2">
        <v>41</v>
      </c>
      <c r="E74" s="2">
        <v>11</v>
      </c>
      <c r="F74" s="2">
        <v>46</v>
      </c>
      <c r="G74" s="2">
        <v>35</v>
      </c>
      <c r="H74" s="2">
        <v>10</v>
      </c>
      <c r="I74" s="3">
        <f t="shared" si="3"/>
        <v>143</v>
      </c>
      <c r="J74" s="3">
        <v>500</v>
      </c>
      <c r="K74" s="4">
        <f t="shared" si="4"/>
        <v>0.28599999999999998</v>
      </c>
      <c r="L74" s="24">
        <f t="shared" si="5"/>
        <v>0.71399999999999997</v>
      </c>
    </row>
    <row r="75" spans="1:12">
      <c r="A75" s="23" t="s">
        <v>166</v>
      </c>
      <c r="B75" s="1" t="s">
        <v>167</v>
      </c>
      <c r="C75" s="1" t="s">
        <v>17</v>
      </c>
      <c r="D75" s="2">
        <v>41</v>
      </c>
      <c r="E75" s="2">
        <v>17</v>
      </c>
      <c r="F75" s="2">
        <v>82</v>
      </c>
      <c r="G75" s="2">
        <v>75</v>
      </c>
      <c r="H75" s="2">
        <v>39</v>
      </c>
      <c r="I75" s="3">
        <f t="shared" si="3"/>
        <v>254</v>
      </c>
      <c r="J75" s="3">
        <v>500</v>
      </c>
      <c r="K75" s="4">
        <f t="shared" si="4"/>
        <v>0.50800000000000001</v>
      </c>
      <c r="L75" s="24">
        <f t="shared" si="5"/>
        <v>0.49199999999999999</v>
      </c>
    </row>
    <row r="76" spans="1:12">
      <c r="A76" s="23" t="s">
        <v>168</v>
      </c>
      <c r="B76" s="1" t="s">
        <v>169</v>
      </c>
      <c r="C76" s="1" t="s">
        <v>20</v>
      </c>
      <c r="D76" s="2">
        <v>12</v>
      </c>
      <c r="E76" s="2">
        <v>97</v>
      </c>
      <c r="F76" s="2">
        <v>45</v>
      </c>
      <c r="G76" s="2">
        <v>29</v>
      </c>
      <c r="H76" s="2">
        <v>41</v>
      </c>
      <c r="I76" s="3">
        <f t="shared" si="3"/>
        <v>224</v>
      </c>
      <c r="J76" s="3">
        <v>500</v>
      </c>
      <c r="K76" s="4">
        <f t="shared" si="4"/>
        <v>0.44800000000000001</v>
      </c>
      <c r="L76" s="24">
        <f t="shared" si="5"/>
        <v>0.55200000000000005</v>
      </c>
    </row>
    <row r="77" spans="1:12">
      <c r="A77" s="23" t="s">
        <v>170</v>
      </c>
      <c r="B77" s="1" t="s">
        <v>171</v>
      </c>
      <c r="C77" s="1" t="s">
        <v>23</v>
      </c>
      <c r="D77" s="2">
        <v>19</v>
      </c>
      <c r="E77" s="2">
        <v>72</v>
      </c>
      <c r="F77" s="2">
        <v>87</v>
      </c>
      <c r="G77" s="2">
        <v>82</v>
      </c>
      <c r="H77" s="2">
        <v>27</v>
      </c>
      <c r="I77" s="3">
        <f t="shared" si="3"/>
        <v>287</v>
      </c>
      <c r="J77" s="3">
        <v>500</v>
      </c>
      <c r="K77" s="4">
        <f t="shared" si="4"/>
        <v>0.57399999999999995</v>
      </c>
      <c r="L77" s="24">
        <f t="shared" si="5"/>
        <v>0.42600000000000005</v>
      </c>
    </row>
    <row r="78" spans="1:12">
      <c r="A78" s="23" t="s">
        <v>172</v>
      </c>
      <c r="B78" s="1" t="s">
        <v>173</v>
      </c>
      <c r="C78" s="1" t="s">
        <v>26</v>
      </c>
      <c r="D78" s="2">
        <v>98</v>
      </c>
      <c r="E78" s="2">
        <v>15</v>
      </c>
      <c r="F78" s="2">
        <v>72</v>
      </c>
      <c r="G78" s="2">
        <v>67</v>
      </c>
      <c r="H78" s="2">
        <v>34</v>
      </c>
      <c r="I78" s="3">
        <f t="shared" si="3"/>
        <v>286</v>
      </c>
      <c r="J78" s="3">
        <v>500</v>
      </c>
      <c r="K78" s="4">
        <f t="shared" si="4"/>
        <v>0.57199999999999995</v>
      </c>
      <c r="L78" s="24">
        <f t="shared" si="5"/>
        <v>0.42800000000000005</v>
      </c>
    </row>
    <row r="79" spans="1:12">
      <c r="A79" s="23" t="s">
        <v>174</v>
      </c>
      <c r="B79" s="1" t="s">
        <v>175</v>
      </c>
      <c r="C79" s="1" t="s">
        <v>29</v>
      </c>
      <c r="D79" s="2">
        <v>50</v>
      </c>
      <c r="E79" s="2">
        <v>44</v>
      </c>
      <c r="F79" s="2">
        <v>46</v>
      </c>
      <c r="G79" s="2">
        <v>13</v>
      </c>
      <c r="H79" s="2">
        <v>92</v>
      </c>
      <c r="I79" s="3">
        <f t="shared" si="3"/>
        <v>245</v>
      </c>
      <c r="J79" s="3">
        <v>500</v>
      </c>
      <c r="K79" s="4">
        <f t="shared" si="4"/>
        <v>0.49</v>
      </c>
      <c r="L79" s="24">
        <f t="shared" si="5"/>
        <v>0.51</v>
      </c>
    </row>
    <row r="80" spans="1:12">
      <c r="A80" s="23" t="s">
        <v>176</v>
      </c>
      <c r="B80" s="1" t="s">
        <v>177</v>
      </c>
      <c r="C80" s="1" t="s">
        <v>32</v>
      </c>
      <c r="D80" s="2">
        <v>40</v>
      </c>
      <c r="E80" s="2">
        <v>82</v>
      </c>
      <c r="F80" s="2">
        <v>72</v>
      </c>
      <c r="G80" s="2">
        <v>42</v>
      </c>
      <c r="H80" s="2">
        <v>45</v>
      </c>
      <c r="I80" s="3">
        <f t="shared" si="3"/>
        <v>281</v>
      </c>
      <c r="J80" s="3">
        <v>500</v>
      </c>
      <c r="K80" s="4">
        <f t="shared" si="4"/>
        <v>0.56200000000000006</v>
      </c>
      <c r="L80" s="24">
        <f t="shared" si="5"/>
        <v>0.43799999999999994</v>
      </c>
    </row>
    <row r="81" spans="1:12">
      <c r="A81" s="23" t="s">
        <v>178</v>
      </c>
      <c r="B81" s="1" t="s">
        <v>179</v>
      </c>
      <c r="C81" s="1" t="s">
        <v>35</v>
      </c>
      <c r="D81" s="2">
        <v>23</v>
      </c>
      <c r="E81" s="2">
        <v>83</v>
      </c>
      <c r="F81" s="2">
        <v>63</v>
      </c>
      <c r="G81" s="2">
        <v>65</v>
      </c>
      <c r="H81" s="2">
        <v>83</v>
      </c>
      <c r="I81" s="3">
        <f t="shared" si="3"/>
        <v>317</v>
      </c>
      <c r="J81" s="3">
        <v>500</v>
      </c>
      <c r="K81" s="4">
        <f t="shared" si="4"/>
        <v>0.63400000000000001</v>
      </c>
      <c r="L81" s="24">
        <f t="shared" si="5"/>
        <v>0.36599999999999999</v>
      </c>
    </row>
    <row r="82" spans="1:12">
      <c r="A82" s="23" t="s">
        <v>180</v>
      </c>
      <c r="B82" s="1" t="s">
        <v>181</v>
      </c>
      <c r="C82" s="1" t="s">
        <v>14</v>
      </c>
      <c r="D82" s="2">
        <v>71</v>
      </c>
      <c r="E82" s="2">
        <v>94</v>
      </c>
      <c r="F82" s="2">
        <v>45</v>
      </c>
      <c r="G82" s="2">
        <v>95</v>
      </c>
      <c r="H82" s="2">
        <v>46</v>
      </c>
      <c r="I82" s="3">
        <f t="shared" si="3"/>
        <v>351</v>
      </c>
      <c r="J82" s="3">
        <v>500</v>
      </c>
      <c r="K82" s="4">
        <f t="shared" si="4"/>
        <v>0.70199999999999996</v>
      </c>
      <c r="L82" s="24">
        <f t="shared" si="5"/>
        <v>0.29800000000000004</v>
      </c>
    </row>
    <row r="83" spans="1:12">
      <c r="A83" s="23" t="s">
        <v>182</v>
      </c>
      <c r="B83" s="1" t="s">
        <v>183</v>
      </c>
      <c r="C83" s="1" t="s">
        <v>17</v>
      </c>
      <c r="D83" s="2">
        <v>48</v>
      </c>
      <c r="E83" s="2">
        <v>49</v>
      </c>
      <c r="F83" s="2">
        <v>68</v>
      </c>
      <c r="G83" s="2">
        <v>23</v>
      </c>
      <c r="H83" s="2">
        <v>21</v>
      </c>
      <c r="I83" s="3">
        <f t="shared" si="3"/>
        <v>209</v>
      </c>
      <c r="J83" s="3">
        <v>500</v>
      </c>
      <c r="K83" s="4">
        <f t="shared" si="4"/>
        <v>0.41799999999999998</v>
      </c>
      <c r="L83" s="24">
        <f t="shared" si="5"/>
        <v>0.58200000000000007</v>
      </c>
    </row>
    <row r="84" spans="1:12">
      <c r="A84" s="23" t="s">
        <v>184</v>
      </c>
      <c r="B84" s="1" t="s">
        <v>185</v>
      </c>
      <c r="C84" s="1" t="s">
        <v>20</v>
      </c>
      <c r="D84" s="2">
        <v>77</v>
      </c>
      <c r="E84" s="2">
        <v>83</v>
      </c>
      <c r="F84" s="2">
        <v>64</v>
      </c>
      <c r="G84" s="2">
        <v>53</v>
      </c>
      <c r="H84" s="2">
        <v>13</v>
      </c>
      <c r="I84" s="3">
        <f t="shared" si="3"/>
        <v>290</v>
      </c>
      <c r="J84" s="3">
        <v>500</v>
      </c>
      <c r="K84" s="4">
        <f t="shared" si="4"/>
        <v>0.57999999999999996</v>
      </c>
      <c r="L84" s="24">
        <f t="shared" si="5"/>
        <v>0.42000000000000004</v>
      </c>
    </row>
    <row r="85" spans="1:12">
      <c r="A85" s="23" t="s">
        <v>186</v>
      </c>
      <c r="B85" s="1" t="s">
        <v>187</v>
      </c>
      <c r="C85" s="1" t="s">
        <v>23</v>
      </c>
      <c r="D85" s="2">
        <v>81</v>
      </c>
      <c r="E85" s="2">
        <v>63</v>
      </c>
      <c r="F85" s="2">
        <v>88</v>
      </c>
      <c r="G85" s="2">
        <v>89</v>
      </c>
      <c r="H85" s="2">
        <v>63</v>
      </c>
      <c r="I85" s="3">
        <f t="shared" si="3"/>
        <v>384</v>
      </c>
      <c r="J85" s="3">
        <v>500</v>
      </c>
      <c r="K85" s="4">
        <f t="shared" si="4"/>
        <v>0.76800000000000002</v>
      </c>
      <c r="L85" s="24">
        <f t="shared" si="5"/>
        <v>0.23199999999999998</v>
      </c>
    </row>
    <row r="86" spans="1:12">
      <c r="A86" s="23" t="s">
        <v>188</v>
      </c>
      <c r="B86" s="1" t="s">
        <v>189</v>
      </c>
      <c r="C86" s="1" t="s">
        <v>26</v>
      </c>
      <c r="D86" s="2">
        <v>39</v>
      </c>
      <c r="E86" s="2">
        <v>87</v>
      </c>
      <c r="F86" s="2">
        <v>62</v>
      </c>
      <c r="G86" s="2">
        <v>80</v>
      </c>
      <c r="H86" s="2">
        <v>81</v>
      </c>
      <c r="I86" s="3">
        <f t="shared" si="3"/>
        <v>349</v>
      </c>
      <c r="J86" s="3">
        <v>500</v>
      </c>
      <c r="K86" s="4">
        <f t="shared" si="4"/>
        <v>0.69799999999999995</v>
      </c>
      <c r="L86" s="24">
        <f t="shared" si="5"/>
        <v>0.30200000000000005</v>
      </c>
    </row>
    <row r="87" spans="1:12">
      <c r="A87" s="23" t="s">
        <v>190</v>
      </c>
      <c r="B87" s="1" t="s">
        <v>191</v>
      </c>
      <c r="C87" s="1" t="s">
        <v>29</v>
      </c>
      <c r="D87" s="2">
        <v>46</v>
      </c>
      <c r="E87" s="2">
        <v>19</v>
      </c>
      <c r="F87" s="2">
        <v>59</v>
      </c>
      <c r="G87" s="2">
        <v>58</v>
      </c>
      <c r="H87" s="2">
        <v>33</v>
      </c>
      <c r="I87" s="3">
        <f t="shared" si="3"/>
        <v>215</v>
      </c>
      <c r="J87" s="3">
        <v>500</v>
      </c>
      <c r="K87" s="4">
        <f t="shared" si="4"/>
        <v>0.43</v>
      </c>
      <c r="L87" s="24">
        <f t="shared" si="5"/>
        <v>0.57000000000000006</v>
      </c>
    </row>
    <row r="88" spans="1:12">
      <c r="A88" s="23" t="s">
        <v>192</v>
      </c>
      <c r="B88" s="1" t="s">
        <v>193</v>
      </c>
      <c r="C88" s="1" t="s">
        <v>32</v>
      </c>
      <c r="D88" s="2">
        <v>34</v>
      </c>
      <c r="E88" s="2">
        <v>15</v>
      </c>
      <c r="F88" s="2">
        <v>43</v>
      </c>
      <c r="G88" s="2">
        <v>63</v>
      </c>
      <c r="H88" s="2">
        <v>54</v>
      </c>
      <c r="I88" s="3">
        <f t="shared" si="3"/>
        <v>209</v>
      </c>
      <c r="J88" s="3">
        <v>500</v>
      </c>
      <c r="K88" s="4">
        <f t="shared" si="4"/>
        <v>0.41799999999999998</v>
      </c>
      <c r="L88" s="24">
        <f t="shared" si="5"/>
        <v>0.58200000000000007</v>
      </c>
    </row>
    <row r="89" spans="1:12">
      <c r="A89" s="23" t="s">
        <v>194</v>
      </c>
      <c r="B89" s="1" t="s">
        <v>195</v>
      </c>
      <c r="C89" s="1" t="s">
        <v>35</v>
      </c>
      <c r="D89" s="2">
        <v>32</v>
      </c>
      <c r="E89" s="2">
        <v>79</v>
      </c>
      <c r="F89" s="2">
        <v>65</v>
      </c>
      <c r="G89" s="2">
        <v>57</v>
      </c>
      <c r="H89" s="2">
        <v>73</v>
      </c>
      <c r="I89" s="3">
        <f t="shared" si="3"/>
        <v>306</v>
      </c>
      <c r="J89" s="3">
        <v>500</v>
      </c>
      <c r="K89" s="4">
        <f t="shared" si="4"/>
        <v>0.61199999999999999</v>
      </c>
      <c r="L89" s="24">
        <f t="shared" si="5"/>
        <v>0.38800000000000001</v>
      </c>
    </row>
    <row r="90" spans="1:12">
      <c r="A90" s="23" t="s">
        <v>196</v>
      </c>
      <c r="B90" s="1" t="s">
        <v>197</v>
      </c>
      <c r="C90" s="1" t="s">
        <v>14</v>
      </c>
      <c r="D90" s="2">
        <v>72</v>
      </c>
      <c r="E90" s="2">
        <v>82</v>
      </c>
      <c r="F90" s="2">
        <v>58</v>
      </c>
      <c r="G90" s="2">
        <v>36</v>
      </c>
      <c r="H90" s="2">
        <v>33</v>
      </c>
      <c r="I90" s="3">
        <f t="shared" si="3"/>
        <v>281</v>
      </c>
      <c r="J90" s="3">
        <v>500</v>
      </c>
      <c r="K90" s="4">
        <f t="shared" si="4"/>
        <v>0.56200000000000006</v>
      </c>
      <c r="L90" s="24">
        <f t="shared" si="5"/>
        <v>0.43799999999999994</v>
      </c>
    </row>
    <row r="91" spans="1:12">
      <c r="A91" s="23" t="s">
        <v>198</v>
      </c>
      <c r="B91" s="1" t="s">
        <v>199</v>
      </c>
      <c r="C91" s="1" t="s">
        <v>17</v>
      </c>
      <c r="D91" s="2">
        <v>11</v>
      </c>
      <c r="E91" s="2">
        <v>69</v>
      </c>
      <c r="F91" s="2">
        <v>49</v>
      </c>
      <c r="G91" s="2">
        <v>90</v>
      </c>
      <c r="H91" s="2">
        <v>99</v>
      </c>
      <c r="I91" s="3">
        <f t="shared" si="3"/>
        <v>318</v>
      </c>
      <c r="J91" s="3">
        <v>500</v>
      </c>
      <c r="K91" s="4">
        <f t="shared" si="4"/>
        <v>0.63600000000000001</v>
      </c>
      <c r="L91" s="24">
        <f t="shared" si="5"/>
        <v>0.36399999999999999</v>
      </c>
    </row>
    <row r="92" spans="1:12">
      <c r="A92" s="23" t="s">
        <v>200</v>
      </c>
      <c r="B92" s="1" t="s">
        <v>201</v>
      </c>
      <c r="C92" s="1" t="s">
        <v>20</v>
      </c>
      <c r="D92" s="2">
        <v>80</v>
      </c>
      <c r="E92" s="2">
        <v>73</v>
      </c>
      <c r="F92" s="2">
        <v>21</v>
      </c>
      <c r="G92" s="2">
        <v>72</v>
      </c>
      <c r="H92" s="2">
        <v>54</v>
      </c>
      <c r="I92" s="3">
        <f t="shared" si="3"/>
        <v>300</v>
      </c>
      <c r="J92" s="3">
        <v>500</v>
      </c>
      <c r="K92" s="4">
        <f t="shared" si="4"/>
        <v>0.6</v>
      </c>
      <c r="L92" s="24">
        <f t="shared" si="5"/>
        <v>0.4</v>
      </c>
    </row>
    <row r="93" spans="1:12">
      <c r="A93" s="23" t="s">
        <v>202</v>
      </c>
      <c r="B93" s="1" t="s">
        <v>203</v>
      </c>
      <c r="C93" s="1" t="s">
        <v>23</v>
      </c>
      <c r="D93" s="2">
        <v>93</v>
      </c>
      <c r="E93" s="2">
        <v>42</v>
      </c>
      <c r="F93" s="2">
        <v>38</v>
      </c>
      <c r="G93" s="2">
        <v>98</v>
      </c>
      <c r="H93" s="2">
        <v>10</v>
      </c>
      <c r="I93" s="3">
        <f t="shared" si="3"/>
        <v>281</v>
      </c>
      <c r="J93" s="3">
        <v>500</v>
      </c>
      <c r="K93" s="4">
        <f t="shared" si="4"/>
        <v>0.56200000000000006</v>
      </c>
      <c r="L93" s="24">
        <f t="shared" si="5"/>
        <v>0.43799999999999994</v>
      </c>
    </row>
    <row r="94" spans="1:12">
      <c r="A94" s="23" t="s">
        <v>204</v>
      </c>
      <c r="B94" s="1" t="s">
        <v>205</v>
      </c>
      <c r="C94" s="1" t="s">
        <v>26</v>
      </c>
      <c r="D94" s="2">
        <v>18</v>
      </c>
      <c r="E94" s="2">
        <v>80</v>
      </c>
      <c r="F94" s="2">
        <v>20</v>
      </c>
      <c r="G94" s="2">
        <v>32</v>
      </c>
      <c r="H94" s="2">
        <v>95</v>
      </c>
      <c r="I94" s="3">
        <f t="shared" si="3"/>
        <v>245</v>
      </c>
      <c r="J94" s="3">
        <v>500</v>
      </c>
      <c r="K94" s="4">
        <f t="shared" si="4"/>
        <v>0.49</v>
      </c>
      <c r="L94" s="24">
        <f t="shared" si="5"/>
        <v>0.51</v>
      </c>
    </row>
    <row r="95" spans="1:12">
      <c r="A95" s="23" t="s">
        <v>206</v>
      </c>
      <c r="B95" s="1" t="s">
        <v>207</v>
      </c>
      <c r="C95" s="1" t="s">
        <v>29</v>
      </c>
      <c r="D95" s="2">
        <v>96</v>
      </c>
      <c r="E95" s="2">
        <v>14</v>
      </c>
      <c r="F95" s="2">
        <v>20</v>
      </c>
      <c r="G95" s="2">
        <v>31</v>
      </c>
      <c r="H95" s="2">
        <v>44</v>
      </c>
      <c r="I95" s="3">
        <f t="shared" si="3"/>
        <v>205</v>
      </c>
      <c r="J95" s="3">
        <v>500</v>
      </c>
      <c r="K95" s="4">
        <f t="shared" si="4"/>
        <v>0.41</v>
      </c>
      <c r="L95" s="24">
        <f t="shared" si="5"/>
        <v>0.59000000000000008</v>
      </c>
    </row>
    <row r="96" spans="1:12">
      <c r="A96" s="23" t="s">
        <v>208</v>
      </c>
      <c r="B96" s="1" t="s">
        <v>209</v>
      </c>
      <c r="C96" s="1" t="s">
        <v>32</v>
      </c>
      <c r="D96" s="2">
        <v>37</v>
      </c>
      <c r="E96" s="2">
        <v>60</v>
      </c>
      <c r="F96" s="2">
        <v>50</v>
      </c>
      <c r="G96" s="2">
        <v>68</v>
      </c>
      <c r="H96" s="2">
        <v>19</v>
      </c>
      <c r="I96" s="3">
        <f t="shared" si="3"/>
        <v>234</v>
      </c>
      <c r="J96" s="3">
        <v>500</v>
      </c>
      <c r="K96" s="4">
        <f t="shared" si="4"/>
        <v>0.46800000000000003</v>
      </c>
      <c r="L96" s="24">
        <f t="shared" si="5"/>
        <v>0.53200000000000003</v>
      </c>
    </row>
    <row r="97" spans="1:12">
      <c r="A97" s="23" t="s">
        <v>210</v>
      </c>
      <c r="B97" s="1" t="s">
        <v>211</v>
      </c>
      <c r="C97" s="1" t="s">
        <v>35</v>
      </c>
      <c r="D97" s="2">
        <v>35</v>
      </c>
      <c r="E97" s="2">
        <v>79</v>
      </c>
      <c r="F97" s="2">
        <v>17</v>
      </c>
      <c r="G97" s="2">
        <v>85</v>
      </c>
      <c r="H97" s="2">
        <v>16</v>
      </c>
      <c r="I97" s="3">
        <f t="shared" si="3"/>
        <v>232</v>
      </c>
      <c r="J97" s="3">
        <v>500</v>
      </c>
      <c r="K97" s="4">
        <f t="shared" si="4"/>
        <v>0.46400000000000002</v>
      </c>
      <c r="L97" s="24">
        <f t="shared" si="5"/>
        <v>0.53600000000000003</v>
      </c>
    </row>
    <row r="98" spans="1:12">
      <c r="A98" s="23" t="s">
        <v>212</v>
      </c>
      <c r="B98" s="1" t="s">
        <v>213</v>
      </c>
      <c r="C98" s="1" t="s">
        <v>14</v>
      </c>
      <c r="D98" s="2">
        <v>31</v>
      </c>
      <c r="E98" s="2">
        <v>48</v>
      </c>
      <c r="F98" s="2">
        <v>56</v>
      </c>
      <c r="G98" s="2">
        <v>85</v>
      </c>
      <c r="H98" s="2">
        <v>25</v>
      </c>
      <c r="I98" s="3">
        <f t="shared" si="3"/>
        <v>245</v>
      </c>
      <c r="J98" s="3">
        <v>500</v>
      </c>
      <c r="K98" s="4">
        <f t="shared" si="4"/>
        <v>0.49</v>
      </c>
      <c r="L98" s="24">
        <f t="shared" si="5"/>
        <v>0.51</v>
      </c>
    </row>
    <row r="99" spans="1:12">
      <c r="A99" s="23" t="s">
        <v>214</v>
      </c>
      <c r="B99" s="1" t="s">
        <v>215</v>
      </c>
      <c r="C99" s="1" t="s">
        <v>17</v>
      </c>
      <c r="D99" s="2">
        <v>23</v>
      </c>
      <c r="E99" s="2">
        <v>83</v>
      </c>
      <c r="F99" s="2">
        <v>86</v>
      </c>
      <c r="G99" s="2">
        <v>69</v>
      </c>
      <c r="H99" s="2">
        <v>25</v>
      </c>
      <c r="I99" s="3">
        <f t="shared" si="3"/>
        <v>286</v>
      </c>
      <c r="J99" s="3">
        <v>500</v>
      </c>
      <c r="K99" s="4">
        <f t="shared" si="4"/>
        <v>0.57199999999999995</v>
      </c>
      <c r="L99" s="24">
        <f t="shared" si="5"/>
        <v>0.42800000000000005</v>
      </c>
    </row>
    <row r="100" spans="1:12">
      <c r="A100" s="23" t="s">
        <v>216</v>
      </c>
      <c r="B100" s="1" t="s">
        <v>217</v>
      </c>
      <c r="C100" s="1" t="s">
        <v>20</v>
      </c>
      <c r="D100" s="2">
        <v>17</v>
      </c>
      <c r="E100" s="2">
        <v>97</v>
      </c>
      <c r="F100" s="2">
        <v>81</v>
      </c>
      <c r="G100" s="2">
        <v>32</v>
      </c>
      <c r="H100" s="2">
        <v>76</v>
      </c>
      <c r="I100" s="3">
        <f t="shared" si="3"/>
        <v>303</v>
      </c>
      <c r="J100" s="3">
        <v>500</v>
      </c>
      <c r="K100" s="4">
        <f t="shared" si="4"/>
        <v>0.60599999999999998</v>
      </c>
      <c r="L100" s="24">
        <f t="shared" si="5"/>
        <v>0.39400000000000002</v>
      </c>
    </row>
    <row r="101" spans="1:12">
      <c r="A101" s="23" t="s">
        <v>218</v>
      </c>
      <c r="B101" s="1" t="s">
        <v>219</v>
      </c>
      <c r="C101" s="1" t="s">
        <v>23</v>
      </c>
      <c r="D101" s="2">
        <v>92</v>
      </c>
      <c r="E101" s="2">
        <v>45</v>
      </c>
      <c r="F101" s="2">
        <v>43</v>
      </c>
      <c r="G101" s="2">
        <v>91</v>
      </c>
      <c r="H101" s="2">
        <v>47</v>
      </c>
      <c r="I101" s="3">
        <f t="shared" si="3"/>
        <v>318</v>
      </c>
      <c r="J101" s="3">
        <v>500</v>
      </c>
      <c r="K101" s="4">
        <f t="shared" si="4"/>
        <v>0.63600000000000001</v>
      </c>
      <c r="L101" s="24">
        <f t="shared" si="5"/>
        <v>0.36399999999999999</v>
      </c>
    </row>
    <row r="102" spans="1:12">
      <c r="A102" s="23" t="s">
        <v>220</v>
      </c>
      <c r="B102" s="1" t="s">
        <v>221</v>
      </c>
      <c r="C102" s="1" t="s">
        <v>26</v>
      </c>
      <c r="D102" s="2">
        <v>49</v>
      </c>
      <c r="E102" s="2">
        <v>77</v>
      </c>
      <c r="F102" s="2">
        <v>18</v>
      </c>
      <c r="G102" s="2">
        <v>69</v>
      </c>
      <c r="H102" s="2">
        <v>55</v>
      </c>
      <c r="I102" s="3">
        <f t="shared" si="3"/>
        <v>268</v>
      </c>
      <c r="J102" s="3">
        <v>500</v>
      </c>
      <c r="K102" s="4">
        <f t="shared" si="4"/>
        <v>0.53600000000000003</v>
      </c>
      <c r="L102" s="24">
        <f t="shared" si="5"/>
        <v>0.46399999999999997</v>
      </c>
    </row>
    <row r="103" spans="1:12">
      <c r="A103" s="23" t="s">
        <v>222</v>
      </c>
      <c r="B103" s="1" t="s">
        <v>223</v>
      </c>
      <c r="C103" s="1" t="s">
        <v>29</v>
      </c>
      <c r="D103" s="2">
        <v>81</v>
      </c>
      <c r="E103" s="2">
        <v>88</v>
      </c>
      <c r="F103" s="2">
        <v>19</v>
      </c>
      <c r="G103" s="2">
        <v>95</v>
      </c>
      <c r="H103" s="2">
        <v>39</v>
      </c>
      <c r="I103" s="3">
        <f t="shared" si="3"/>
        <v>322</v>
      </c>
      <c r="J103" s="3">
        <v>500</v>
      </c>
      <c r="K103" s="4">
        <f t="shared" si="4"/>
        <v>0.64400000000000002</v>
      </c>
      <c r="L103" s="24">
        <f t="shared" si="5"/>
        <v>0.35599999999999998</v>
      </c>
    </row>
    <row r="104" spans="1:12">
      <c r="A104" s="23" t="s">
        <v>224</v>
      </c>
      <c r="B104" s="1" t="s">
        <v>225</v>
      </c>
      <c r="C104" s="1" t="s">
        <v>32</v>
      </c>
      <c r="D104" s="2">
        <v>55</v>
      </c>
      <c r="E104" s="2">
        <v>14</v>
      </c>
      <c r="F104" s="2">
        <v>41</v>
      </c>
      <c r="G104" s="2">
        <v>40</v>
      </c>
      <c r="H104" s="2">
        <v>70</v>
      </c>
      <c r="I104" s="3">
        <f t="shared" si="3"/>
        <v>220</v>
      </c>
      <c r="J104" s="3">
        <v>500</v>
      </c>
      <c r="K104" s="4">
        <f t="shared" si="4"/>
        <v>0.44</v>
      </c>
      <c r="L104" s="24">
        <f t="shared" si="5"/>
        <v>0.56000000000000005</v>
      </c>
    </row>
    <row r="105" spans="1:12">
      <c r="A105" s="23" t="s">
        <v>226</v>
      </c>
      <c r="B105" s="1" t="s">
        <v>227</v>
      </c>
      <c r="C105" s="1" t="s">
        <v>35</v>
      </c>
      <c r="D105" s="2">
        <v>86</v>
      </c>
      <c r="E105" s="2">
        <v>13</v>
      </c>
      <c r="F105" s="2">
        <v>99</v>
      </c>
      <c r="G105" s="2">
        <v>25</v>
      </c>
      <c r="H105" s="2">
        <v>83</v>
      </c>
      <c r="I105" s="3">
        <f t="shared" si="3"/>
        <v>306</v>
      </c>
      <c r="J105" s="3">
        <v>500</v>
      </c>
      <c r="K105" s="4">
        <f t="shared" si="4"/>
        <v>0.61199999999999999</v>
      </c>
      <c r="L105" s="24">
        <f t="shared" si="5"/>
        <v>0.38800000000000001</v>
      </c>
    </row>
    <row r="106" spans="1:12">
      <c r="A106" s="23" t="s">
        <v>228</v>
      </c>
      <c r="B106" s="1" t="s">
        <v>229</v>
      </c>
      <c r="C106" s="1" t="s">
        <v>14</v>
      </c>
      <c r="D106" s="2">
        <v>88</v>
      </c>
      <c r="E106" s="2">
        <v>96</v>
      </c>
      <c r="F106" s="2">
        <v>16</v>
      </c>
      <c r="G106" s="2">
        <v>65</v>
      </c>
      <c r="H106" s="2">
        <v>86</v>
      </c>
      <c r="I106" s="3">
        <f t="shared" si="3"/>
        <v>351</v>
      </c>
      <c r="J106" s="3">
        <v>500</v>
      </c>
      <c r="K106" s="4">
        <f t="shared" si="4"/>
        <v>0.70199999999999996</v>
      </c>
      <c r="L106" s="24">
        <f t="shared" si="5"/>
        <v>0.29800000000000004</v>
      </c>
    </row>
    <row r="107" spans="1:12">
      <c r="A107" s="23" t="s">
        <v>230</v>
      </c>
      <c r="B107" s="1" t="s">
        <v>231</v>
      </c>
      <c r="C107" s="1" t="s">
        <v>17</v>
      </c>
      <c r="D107" s="2">
        <v>61</v>
      </c>
      <c r="E107" s="2">
        <v>73</v>
      </c>
      <c r="F107" s="2">
        <v>34</v>
      </c>
      <c r="G107" s="2">
        <v>30</v>
      </c>
      <c r="H107" s="2">
        <v>30</v>
      </c>
      <c r="I107" s="3">
        <f t="shared" si="3"/>
        <v>228</v>
      </c>
      <c r="J107" s="3">
        <v>500</v>
      </c>
      <c r="K107" s="4">
        <f t="shared" si="4"/>
        <v>0.45600000000000002</v>
      </c>
      <c r="L107" s="24">
        <f t="shared" si="5"/>
        <v>0.54400000000000004</v>
      </c>
    </row>
    <row r="108" spans="1:12">
      <c r="A108" s="23" t="s">
        <v>232</v>
      </c>
      <c r="B108" s="1" t="s">
        <v>233</v>
      </c>
      <c r="C108" s="1" t="s">
        <v>20</v>
      </c>
      <c r="D108" s="2">
        <v>61</v>
      </c>
      <c r="E108" s="2">
        <v>91</v>
      </c>
      <c r="F108" s="2">
        <v>53</v>
      </c>
      <c r="G108" s="2">
        <v>78</v>
      </c>
      <c r="H108" s="2">
        <v>91</v>
      </c>
      <c r="I108" s="3">
        <f t="shared" si="3"/>
        <v>374</v>
      </c>
      <c r="J108" s="3">
        <v>500</v>
      </c>
      <c r="K108" s="4">
        <f t="shared" si="4"/>
        <v>0.748</v>
      </c>
      <c r="L108" s="24">
        <f t="shared" si="5"/>
        <v>0.252</v>
      </c>
    </row>
    <row r="109" spans="1:12">
      <c r="A109" s="23" t="s">
        <v>234</v>
      </c>
      <c r="B109" s="1" t="s">
        <v>235</v>
      </c>
      <c r="C109" s="1" t="s">
        <v>23</v>
      </c>
      <c r="D109" s="2">
        <v>75</v>
      </c>
      <c r="E109" s="2">
        <v>53</v>
      </c>
      <c r="F109" s="2">
        <v>27</v>
      </c>
      <c r="G109" s="2">
        <v>26</v>
      </c>
      <c r="H109" s="2">
        <v>30</v>
      </c>
      <c r="I109" s="3">
        <f t="shared" si="3"/>
        <v>211</v>
      </c>
      <c r="J109" s="3">
        <v>500</v>
      </c>
      <c r="K109" s="4">
        <f t="shared" si="4"/>
        <v>0.42199999999999999</v>
      </c>
      <c r="L109" s="24">
        <f t="shared" si="5"/>
        <v>0.57800000000000007</v>
      </c>
    </row>
    <row r="110" spans="1:12">
      <c r="A110" s="23" t="s">
        <v>236</v>
      </c>
      <c r="B110" s="1" t="s">
        <v>237</v>
      </c>
      <c r="C110" s="1" t="s">
        <v>26</v>
      </c>
      <c r="D110" s="2">
        <v>24</v>
      </c>
      <c r="E110" s="2">
        <v>31</v>
      </c>
      <c r="F110" s="2">
        <v>41</v>
      </c>
      <c r="G110" s="2">
        <v>57</v>
      </c>
      <c r="H110" s="2">
        <v>83</v>
      </c>
      <c r="I110" s="3">
        <f t="shared" si="3"/>
        <v>236</v>
      </c>
      <c r="J110" s="3">
        <v>500</v>
      </c>
      <c r="K110" s="4">
        <f t="shared" si="4"/>
        <v>0.47199999999999998</v>
      </c>
      <c r="L110" s="24">
        <f t="shared" si="5"/>
        <v>0.52800000000000002</v>
      </c>
    </row>
    <row r="111" spans="1:12">
      <c r="A111" s="23" t="s">
        <v>238</v>
      </c>
      <c r="B111" s="1" t="s">
        <v>239</v>
      </c>
      <c r="C111" s="1" t="s">
        <v>29</v>
      </c>
      <c r="D111" s="2">
        <v>83</v>
      </c>
      <c r="E111" s="2">
        <v>62</v>
      </c>
      <c r="F111" s="2">
        <v>32</v>
      </c>
      <c r="G111" s="2">
        <v>83</v>
      </c>
      <c r="H111" s="2">
        <v>95</v>
      </c>
      <c r="I111" s="3">
        <f t="shared" si="3"/>
        <v>355</v>
      </c>
      <c r="J111" s="3">
        <v>500</v>
      </c>
      <c r="K111" s="4">
        <f t="shared" si="4"/>
        <v>0.71</v>
      </c>
      <c r="L111" s="24">
        <f t="shared" si="5"/>
        <v>0.29000000000000004</v>
      </c>
    </row>
    <row r="112" spans="1:12">
      <c r="A112" s="23" t="s">
        <v>240</v>
      </c>
      <c r="B112" s="1" t="s">
        <v>241</v>
      </c>
      <c r="C112" s="1" t="s">
        <v>32</v>
      </c>
      <c r="D112" s="2">
        <v>39</v>
      </c>
      <c r="E112" s="2">
        <v>52</v>
      </c>
      <c r="F112" s="2">
        <v>72</v>
      </c>
      <c r="G112" s="2">
        <v>99</v>
      </c>
      <c r="H112" s="2">
        <v>58</v>
      </c>
      <c r="I112" s="3">
        <f t="shared" si="3"/>
        <v>320</v>
      </c>
      <c r="J112" s="3">
        <v>500</v>
      </c>
      <c r="K112" s="4">
        <f t="shared" si="4"/>
        <v>0.64</v>
      </c>
      <c r="L112" s="24">
        <f t="shared" si="5"/>
        <v>0.36</v>
      </c>
    </row>
    <row r="113" spans="1:12">
      <c r="A113" s="23" t="s">
        <v>242</v>
      </c>
      <c r="B113" s="1" t="s">
        <v>243</v>
      </c>
      <c r="C113" s="1" t="s">
        <v>35</v>
      </c>
      <c r="D113" s="2">
        <v>93</v>
      </c>
      <c r="E113" s="2">
        <v>74</v>
      </c>
      <c r="F113" s="2">
        <v>85</v>
      </c>
      <c r="G113" s="2">
        <v>47</v>
      </c>
      <c r="H113" s="2">
        <v>90</v>
      </c>
      <c r="I113" s="3">
        <f t="shared" si="3"/>
        <v>389</v>
      </c>
      <c r="J113" s="3">
        <v>500</v>
      </c>
      <c r="K113" s="4">
        <f t="shared" si="4"/>
        <v>0.77800000000000002</v>
      </c>
      <c r="L113" s="24">
        <f t="shared" si="5"/>
        <v>0.22199999999999998</v>
      </c>
    </row>
    <row r="114" spans="1:12">
      <c r="A114" s="23" t="s">
        <v>244</v>
      </c>
      <c r="B114" s="1" t="s">
        <v>245</v>
      </c>
      <c r="C114" s="1" t="s">
        <v>14</v>
      </c>
      <c r="D114" s="2">
        <v>43</v>
      </c>
      <c r="E114" s="2">
        <v>88</v>
      </c>
      <c r="F114" s="2">
        <v>35</v>
      </c>
      <c r="G114" s="2">
        <v>54</v>
      </c>
      <c r="H114" s="2">
        <v>91</v>
      </c>
      <c r="I114" s="3">
        <f t="shared" si="3"/>
        <v>311</v>
      </c>
      <c r="J114" s="3">
        <v>500</v>
      </c>
      <c r="K114" s="4">
        <f t="shared" si="4"/>
        <v>0.622</v>
      </c>
      <c r="L114" s="24">
        <f t="shared" si="5"/>
        <v>0.378</v>
      </c>
    </row>
    <row r="115" spans="1:12">
      <c r="A115" s="23" t="s">
        <v>246</v>
      </c>
      <c r="B115" s="1" t="s">
        <v>247</v>
      </c>
      <c r="C115" s="1" t="s">
        <v>17</v>
      </c>
      <c r="D115" s="2">
        <v>87</v>
      </c>
      <c r="E115" s="2">
        <v>15</v>
      </c>
      <c r="F115" s="2">
        <v>11</v>
      </c>
      <c r="G115" s="2">
        <v>42</v>
      </c>
      <c r="H115" s="2">
        <v>88</v>
      </c>
      <c r="I115" s="3">
        <f t="shared" si="3"/>
        <v>243</v>
      </c>
      <c r="J115" s="3">
        <v>500</v>
      </c>
      <c r="K115" s="4">
        <f t="shared" si="4"/>
        <v>0.48599999999999999</v>
      </c>
      <c r="L115" s="24">
        <f t="shared" si="5"/>
        <v>0.51400000000000001</v>
      </c>
    </row>
    <row r="116" spans="1:12">
      <c r="A116" s="23" t="s">
        <v>248</v>
      </c>
      <c r="B116" s="1" t="s">
        <v>249</v>
      </c>
      <c r="C116" s="1" t="s">
        <v>20</v>
      </c>
      <c r="D116" s="2">
        <v>45</v>
      </c>
      <c r="E116" s="2">
        <v>45</v>
      </c>
      <c r="F116" s="2">
        <v>61</v>
      </c>
      <c r="G116" s="2">
        <v>11</v>
      </c>
      <c r="H116" s="2">
        <v>52</v>
      </c>
      <c r="I116" s="3">
        <f t="shared" si="3"/>
        <v>214</v>
      </c>
      <c r="J116" s="3">
        <v>500</v>
      </c>
      <c r="K116" s="4">
        <f t="shared" si="4"/>
        <v>0.42799999999999999</v>
      </c>
      <c r="L116" s="24">
        <f t="shared" si="5"/>
        <v>0.57200000000000006</v>
      </c>
    </row>
    <row r="117" spans="1:12">
      <c r="A117" s="23" t="s">
        <v>250</v>
      </c>
      <c r="B117" s="1" t="s">
        <v>251</v>
      </c>
      <c r="C117" s="1" t="s">
        <v>23</v>
      </c>
      <c r="D117" s="2">
        <v>71</v>
      </c>
      <c r="E117" s="2">
        <v>42</v>
      </c>
      <c r="F117" s="2">
        <v>17</v>
      </c>
      <c r="G117" s="2">
        <v>57</v>
      </c>
      <c r="H117" s="2">
        <v>96</v>
      </c>
      <c r="I117" s="3">
        <f t="shared" si="3"/>
        <v>283</v>
      </c>
      <c r="J117" s="3">
        <v>500</v>
      </c>
      <c r="K117" s="4">
        <f t="shared" si="4"/>
        <v>0.56599999999999995</v>
      </c>
      <c r="L117" s="24">
        <f t="shared" si="5"/>
        <v>0.43400000000000005</v>
      </c>
    </row>
    <row r="118" spans="1:12">
      <c r="A118" s="23" t="s">
        <v>252</v>
      </c>
      <c r="B118" s="1" t="s">
        <v>253</v>
      </c>
      <c r="C118" s="1" t="s">
        <v>26</v>
      </c>
      <c r="D118" s="2">
        <v>26</v>
      </c>
      <c r="E118" s="2">
        <v>65</v>
      </c>
      <c r="F118" s="2">
        <v>17</v>
      </c>
      <c r="G118" s="2">
        <v>28</v>
      </c>
      <c r="H118" s="2">
        <v>30</v>
      </c>
      <c r="I118" s="3">
        <f t="shared" si="3"/>
        <v>166</v>
      </c>
      <c r="J118" s="3">
        <v>500</v>
      </c>
      <c r="K118" s="4">
        <f t="shared" si="4"/>
        <v>0.33200000000000002</v>
      </c>
      <c r="L118" s="24">
        <f t="shared" si="5"/>
        <v>0.66799999999999993</v>
      </c>
    </row>
    <row r="119" spans="1:12">
      <c r="A119" s="23" t="s">
        <v>254</v>
      </c>
      <c r="B119" s="1" t="s">
        <v>255</v>
      </c>
      <c r="C119" s="1" t="s">
        <v>29</v>
      </c>
      <c r="D119" s="2">
        <v>26</v>
      </c>
      <c r="E119" s="2">
        <v>61</v>
      </c>
      <c r="F119" s="2">
        <v>89</v>
      </c>
      <c r="G119" s="2">
        <v>71</v>
      </c>
      <c r="H119" s="2">
        <v>33</v>
      </c>
      <c r="I119" s="3">
        <f t="shared" si="3"/>
        <v>280</v>
      </c>
      <c r="J119" s="3">
        <v>500</v>
      </c>
      <c r="K119" s="4">
        <f t="shared" si="4"/>
        <v>0.56000000000000005</v>
      </c>
      <c r="L119" s="24">
        <f t="shared" si="5"/>
        <v>0.43999999999999995</v>
      </c>
    </row>
    <row r="120" spans="1:12">
      <c r="A120" s="23" t="s">
        <v>256</v>
      </c>
      <c r="B120" s="1" t="s">
        <v>257</v>
      </c>
      <c r="C120" s="1" t="s">
        <v>32</v>
      </c>
      <c r="D120" s="2">
        <v>93</v>
      </c>
      <c r="E120" s="2">
        <v>11</v>
      </c>
      <c r="F120" s="2">
        <v>93</v>
      </c>
      <c r="G120" s="2">
        <v>31</v>
      </c>
      <c r="H120" s="2">
        <v>30</v>
      </c>
      <c r="I120" s="3">
        <f t="shared" si="3"/>
        <v>258</v>
      </c>
      <c r="J120" s="3">
        <v>500</v>
      </c>
      <c r="K120" s="4">
        <f t="shared" si="4"/>
        <v>0.51600000000000001</v>
      </c>
      <c r="L120" s="24">
        <f t="shared" si="5"/>
        <v>0.48399999999999999</v>
      </c>
    </row>
    <row r="121" spans="1:12">
      <c r="A121" s="23" t="s">
        <v>258</v>
      </c>
      <c r="B121" s="1" t="s">
        <v>259</v>
      </c>
      <c r="C121" s="1" t="s">
        <v>35</v>
      </c>
      <c r="D121" s="2">
        <v>65</v>
      </c>
      <c r="E121" s="2">
        <v>92</v>
      </c>
      <c r="F121" s="2">
        <v>48</v>
      </c>
      <c r="G121" s="2">
        <v>96</v>
      </c>
      <c r="H121" s="2">
        <v>15</v>
      </c>
      <c r="I121" s="3">
        <f t="shared" si="3"/>
        <v>316</v>
      </c>
      <c r="J121" s="3">
        <v>500</v>
      </c>
      <c r="K121" s="4">
        <f t="shared" si="4"/>
        <v>0.63200000000000001</v>
      </c>
      <c r="L121" s="24">
        <f t="shared" si="5"/>
        <v>0.36799999999999999</v>
      </c>
    </row>
    <row r="122" spans="1:12">
      <c r="A122" s="23" t="s">
        <v>260</v>
      </c>
      <c r="B122" s="1" t="s">
        <v>261</v>
      </c>
      <c r="C122" s="1" t="s">
        <v>14</v>
      </c>
      <c r="D122" s="2">
        <v>91</v>
      </c>
      <c r="E122" s="2">
        <v>38</v>
      </c>
      <c r="F122" s="2">
        <v>33</v>
      </c>
      <c r="G122" s="2">
        <v>55</v>
      </c>
      <c r="H122" s="2">
        <v>83</v>
      </c>
      <c r="I122" s="3">
        <f t="shared" si="3"/>
        <v>300</v>
      </c>
      <c r="J122" s="3">
        <v>500</v>
      </c>
      <c r="K122" s="4">
        <f t="shared" si="4"/>
        <v>0.6</v>
      </c>
      <c r="L122" s="24">
        <f t="shared" si="5"/>
        <v>0.4</v>
      </c>
    </row>
    <row r="123" spans="1:12">
      <c r="A123" s="23" t="s">
        <v>262</v>
      </c>
      <c r="B123" s="1" t="s">
        <v>263</v>
      </c>
      <c r="C123" s="1" t="s">
        <v>17</v>
      </c>
      <c r="D123" s="2">
        <v>20</v>
      </c>
      <c r="E123" s="2">
        <v>94</v>
      </c>
      <c r="F123" s="2">
        <v>45</v>
      </c>
      <c r="G123" s="2">
        <v>70</v>
      </c>
      <c r="H123" s="2">
        <v>98</v>
      </c>
      <c r="I123" s="3">
        <f t="shared" si="3"/>
        <v>327</v>
      </c>
      <c r="J123" s="3">
        <v>500</v>
      </c>
      <c r="K123" s="4">
        <f t="shared" si="4"/>
        <v>0.65400000000000003</v>
      </c>
      <c r="L123" s="24">
        <f t="shared" si="5"/>
        <v>0.34599999999999997</v>
      </c>
    </row>
    <row r="124" spans="1:12">
      <c r="A124" s="23" t="s">
        <v>264</v>
      </c>
      <c r="B124" s="1" t="s">
        <v>265</v>
      </c>
      <c r="C124" s="1" t="s">
        <v>20</v>
      </c>
      <c r="D124" s="2">
        <v>25</v>
      </c>
      <c r="E124" s="2">
        <v>83</v>
      </c>
      <c r="F124" s="2">
        <v>26</v>
      </c>
      <c r="G124" s="2">
        <v>68</v>
      </c>
      <c r="H124" s="2">
        <v>22</v>
      </c>
      <c r="I124" s="3">
        <f t="shared" si="3"/>
        <v>224</v>
      </c>
      <c r="J124" s="3">
        <v>500</v>
      </c>
      <c r="K124" s="4">
        <f t="shared" si="4"/>
        <v>0.44800000000000001</v>
      </c>
      <c r="L124" s="24">
        <f t="shared" si="5"/>
        <v>0.55200000000000005</v>
      </c>
    </row>
    <row r="125" spans="1:12">
      <c r="A125" s="23" t="s">
        <v>266</v>
      </c>
      <c r="B125" s="1" t="s">
        <v>267</v>
      </c>
      <c r="C125" s="1" t="s">
        <v>23</v>
      </c>
      <c r="D125" s="2">
        <v>26</v>
      </c>
      <c r="E125" s="2">
        <v>16</v>
      </c>
      <c r="F125" s="2">
        <v>61</v>
      </c>
      <c r="G125" s="2">
        <v>92</v>
      </c>
      <c r="H125" s="2">
        <v>50</v>
      </c>
      <c r="I125" s="3">
        <f t="shared" si="3"/>
        <v>245</v>
      </c>
      <c r="J125" s="3">
        <v>500</v>
      </c>
      <c r="K125" s="4">
        <f t="shared" si="4"/>
        <v>0.49</v>
      </c>
      <c r="L125" s="24">
        <f t="shared" si="5"/>
        <v>0.51</v>
      </c>
    </row>
    <row r="126" spans="1:12">
      <c r="A126" s="23" t="s">
        <v>268</v>
      </c>
      <c r="B126" s="1" t="s">
        <v>269</v>
      </c>
      <c r="C126" s="1" t="s">
        <v>26</v>
      </c>
      <c r="D126" s="2">
        <v>31</v>
      </c>
      <c r="E126" s="2">
        <v>55</v>
      </c>
      <c r="F126" s="2">
        <v>75</v>
      </c>
      <c r="G126" s="2">
        <v>66</v>
      </c>
      <c r="H126" s="2">
        <v>75</v>
      </c>
      <c r="I126" s="3">
        <f t="shared" si="3"/>
        <v>302</v>
      </c>
      <c r="J126" s="3">
        <v>500</v>
      </c>
      <c r="K126" s="4">
        <f t="shared" si="4"/>
        <v>0.60399999999999998</v>
      </c>
      <c r="L126" s="24">
        <f t="shared" si="5"/>
        <v>0.39600000000000002</v>
      </c>
    </row>
    <row r="127" spans="1:12">
      <c r="A127" s="23" t="s">
        <v>270</v>
      </c>
      <c r="B127" s="1" t="s">
        <v>271</v>
      </c>
      <c r="C127" s="1" t="s">
        <v>29</v>
      </c>
      <c r="D127" s="2">
        <v>41</v>
      </c>
      <c r="E127" s="2">
        <v>66</v>
      </c>
      <c r="F127" s="2">
        <v>48</v>
      </c>
      <c r="G127" s="2">
        <v>70</v>
      </c>
      <c r="H127" s="2">
        <v>48</v>
      </c>
      <c r="I127" s="3">
        <f t="shared" si="3"/>
        <v>273</v>
      </c>
      <c r="J127" s="3">
        <v>500</v>
      </c>
      <c r="K127" s="4">
        <f t="shared" si="4"/>
        <v>0.54600000000000004</v>
      </c>
      <c r="L127" s="24">
        <f t="shared" si="5"/>
        <v>0.45399999999999996</v>
      </c>
    </row>
    <row r="128" spans="1:12">
      <c r="A128" s="23" t="s">
        <v>272</v>
      </c>
      <c r="B128" s="1" t="s">
        <v>273</v>
      </c>
      <c r="C128" s="1" t="s">
        <v>32</v>
      </c>
      <c r="D128" s="2">
        <v>60</v>
      </c>
      <c r="E128" s="2">
        <v>92</v>
      </c>
      <c r="F128" s="2">
        <v>32</v>
      </c>
      <c r="G128" s="2">
        <v>60</v>
      </c>
      <c r="H128" s="2">
        <v>78</v>
      </c>
      <c r="I128" s="3">
        <f t="shared" si="3"/>
        <v>322</v>
      </c>
      <c r="J128" s="3">
        <v>500</v>
      </c>
      <c r="K128" s="4">
        <f t="shared" si="4"/>
        <v>0.64400000000000002</v>
      </c>
      <c r="L128" s="24">
        <f t="shared" si="5"/>
        <v>0.35599999999999998</v>
      </c>
    </row>
    <row r="129" spans="1:12">
      <c r="A129" s="23" t="s">
        <v>274</v>
      </c>
      <c r="B129" s="1" t="s">
        <v>275</v>
      </c>
      <c r="C129" s="1" t="s">
        <v>35</v>
      </c>
      <c r="D129" s="2">
        <v>42</v>
      </c>
      <c r="E129" s="2">
        <v>24</v>
      </c>
      <c r="F129" s="2">
        <v>19</v>
      </c>
      <c r="G129" s="2">
        <v>82</v>
      </c>
      <c r="H129" s="2">
        <v>16</v>
      </c>
      <c r="I129" s="3">
        <f t="shared" si="3"/>
        <v>183</v>
      </c>
      <c r="J129" s="3">
        <v>500</v>
      </c>
      <c r="K129" s="4">
        <f t="shared" si="4"/>
        <v>0.36599999999999999</v>
      </c>
      <c r="L129" s="24">
        <f t="shared" si="5"/>
        <v>0.63400000000000001</v>
      </c>
    </row>
    <row r="130" spans="1:12">
      <c r="A130" s="23" t="s">
        <v>276</v>
      </c>
      <c r="B130" s="1" t="s">
        <v>277</v>
      </c>
      <c r="C130" s="1" t="s">
        <v>14</v>
      </c>
      <c r="D130" s="2">
        <v>26</v>
      </c>
      <c r="E130" s="2">
        <v>85</v>
      </c>
      <c r="F130" s="2">
        <v>75</v>
      </c>
      <c r="G130" s="2">
        <v>83</v>
      </c>
      <c r="H130" s="2">
        <v>37</v>
      </c>
      <c r="I130" s="3">
        <f t="shared" si="3"/>
        <v>306</v>
      </c>
      <c r="J130" s="3">
        <v>500</v>
      </c>
      <c r="K130" s="4">
        <f t="shared" si="4"/>
        <v>0.61199999999999999</v>
      </c>
      <c r="L130" s="24">
        <f t="shared" si="5"/>
        <v>0.38800000000000001</v>
      </c>
    </row>
    <row r="131" spans="1:12">
      <c r="A131" s="23" t="s">
        <v>278</v>
      </c>
      <c r="B131" s="1" t="s">
        <v>279</v>
      </c>
      <c r="C131" s="1" t="s">
        <v>17</v>
      </c>
      <c r="D131" s="2">
        <v>81</v>
      </c>
      <c r="E131" s="2">
        <v>68</v>
      </c>
      <c r="F131" s="2">
        <v>74</v>
      </c>
      <c r="G131" s="2">
        <v>72</v>
      </c>
      <c r="H131" s="2">
        <v>12</v>
      </c>
      <c r="I131" s="3">
        <f t="shared" ref="I131:I142" si="6">SUM(D131:H131)</f>
        <v>307</v>
      </c>
      <c r="J131" s="3">
        <v>500</v>
      </c>
      <c r="K131" s="4">
        <f t="shared" ref="K131:K142" si="7">I131/J131</f>
        <v>0.61399999999999999</v>
      </c>
      <c r="L131" s="24">
        <f t="shared" ref="L131:L142" si="8">100%-K131</f>
        <v>0.38600000000000001</v>
      </c>
    </row>
    <row r="132" spans="1:12">
      <c r="A132" s="23" t="s">
        <v>280</v>
      </c>
      <c r="B132" s="1" t="s">
        <v>281</v>
      </c>
      <c r="C132" s="1" t="s">
        <v>20</v>
      </c>
      <c r="D132" s="2">
        <v>90</v>
      </c>
      <c r="E132" s="2">
        <v>79</v>
      </c>
      <c r="F132" s="2">
        <v>99</v>
      </c>
      <c r="G132" s="2">
        <v>60</v>
      </c>
      <c r="H132" s="2">
        <v>27</v>
      </c>
      <c r="I132" s="3">
        <f t="shared" si="6"/>
        <v>355</v>
      </c>
      <c r="J132" s="3">
        <v>500</v>
      </c>
      <c r="K132" s="4">
        <f t="shared" si="7"/>
        <v>0.71</v>
      </c>
      <c r="L132" s="24">
        <f t="shared" si="8"/>
        <v>0.29000000000000004</v>
      </c>
    </row>
    <row r="133" spans="1:12">
      <c r="A133" s="23" t="s">
        <v>282</v>
      </c>
      <c r="B133" s="1" t="s">
        <v>283</v>
      </c>
      <c r="C133" s="1" t="s">
        <v>23</v>
      </c>
      <c r="D133" s="2">
        <v>71</v>
      </c>
      <c r="E133" s="2">
        <v>21</v>
      </c>
      <c r="F133" s="2">
        <v>70</v>
      </c>
      <c r="G133" s="2">
        <v>53</v>
      </c>
      <c r="H133" s="2">
        <v>49</v>
      </c>
      <c r="I133" s="3">
        <f t="shared" si="6"/>
        <v>264</v>
      </c>
      <c r="J133" s="3">
        <v>500</v>
      </c>
      <c r="K133" s="4">
        <f t="shared" si="7"/>
        <v>0.52800000000000002</v>
      </c>
      <c r="L133" s="24">
        <f t="shared" si="8"/>
        <v>0.47199999999999998</v>
      </c>
    </row>
    <row r="134" spans="1:12">
      <c r="A134" s="23" t="s">
        <v>284</v>
      </c>
      <c r="B134" s="1" t="s">
        <v>285</v>
      </c>
      <c r="C134" s="1" t="s">
        <v>26</v>
      </c>
      <c r="D134" s="2">
        <v>86</v>
      </c>
      <c r="E134" s="2">
        <v>60</v>
      </c>
      <c r="F134" s="2">
        <v>59</v>
      </c>
      <c r="G134" s="2">
        <v>51</v>
      </c>
      <c r="H134" s="2">
        <v>90</v>
      </c>
      <c r="I134" s="3">
        <f t="shared" si="6"/>
        <v>346</v>
      </c>
      <c r="J134" s="3">
        <v>500</v>
      </c>
      <c r="K134" s="4">
        <f t="shared" si="7"/>
        <v>0.69199999999999995</v>
      </c>
      <c r="L134" s="24">
        <f t="shared" si="8"/>
        <v>0.30800000000000005</v>
      </c>
    </row>
    <row r="135" spans="1:12">
      <c r="A135" s="23" t="s">
        <v>286</v>
      </c>
      <c r="B135" s="1" t="s">
        <v>287</v>
      </c>
      <c r="C135" s="1" t="s">
        <v>29</v>
      </c>
      <c r="D135" s="2">
        <v>68</v>
      </c>
      <c r="E135" s="2">
        <v>61</v>
      </c>
      <c r="F135" s="2">
        <v>12</v>
      </c>
      <c r="G135" s="2">
        <v>41</v>
      </c>
      <c r="H135" s="2">
        <v>35</v>
      </c>
      <c r="I135" s="3">
        <f t="shared" si="6"/>
        <v>217</v>
      </c>
      <c r="J135" s="3">
        <v>500</v>
      </c>
      <c r="K135" s="4">
        <f t="shared" si="7"/>
        <v>0.434</v>
      </c>
      <c r="L135" s="24">
        <f t="shared" si="8"/>
        <v>0.56600000000000006</v>
      </c>
    </row>
    <row r="136" spans="1:12">
      <c r="A136" s="23" t="s">
        <v>288</v>
      </c>
      <c r="B136" s="1" t="s">
        <v>289</v>
      </c>
      <c r="C136" s="1" t="s">
        <v>32</v>
      </c>
      <c r="D136" s="2">
        <v>65</v>
      </c>
      <c r="E136" s="2">
        <v>34</v>
      </c>
      <c r="F136" s="2">
        <v>15</v>
      </c>
      <c r="G136" s="2">
        <v>86</v>
      </c>
      <c r="H136" s="2">
        <v>71</v>
      </c>
      <c r="I136" s="3">
        <f t="shared" si="6"/>
        <v>271</v>
      </c>
      <c r="J136" s="3">
        <v>500</v>
      </c>
      <c r="K136" s="4">
        <f t="shared" si="7"/>
        <v>0.54200000000000004</v>
      </c>
      <c r="L136" s="24">
        <f t="shared" si="8"/>
        <v>0.45799999999999996</v>
      </c>
    </row>
    <row r="137" spans="1:12">
      <c r="A137" s="23" t="s">
        <v>290</v>
      </c>
      <c r="B137" s="1" t="s">
        <v>291</v>
      </c>
      <c r="C137" s="1" t="s">
        <v>35</v>
      </c>
      <c r="D137" s="2">
        <v>91</v>
      </c>
      <c r="E137" s="2">
        <v>21</v>
      </c>
      <c r="F137" s="2">
        <v>59</v>
      </c>
      <c r="G137" s="2">
        <v>85</v>
      </c>
      <c r="H137" s="2">
        <v>60</v>
      </c>
      <c r="I137" s="3">
        <f t="shared" si="6"/>
        <v>316</v>
      </c>
      <c r="J137" s="3">
        <v>500</v>
      </c>
      <c r="K137" s="4">
        <f t="shared" si="7"/>
        <v>0.63200000000000001</v>
      </c>
      <c r="L137" s="24">
        <f t="shared" si="8"/>
        <v>0.36799999999999999</v>
      </c>
    </row>
    <row r="138" spans="1:12">
      <c r="A138" s="23" t="s">
        <v>292</v>
      </c>
      <c r="B138" s="1" t="s">
        <v>293</v>
      </c>
      <c r="C138" s="1" t="s">
        <v>14</v>
      </c>
      <c r="D138" s="2">
        <v>73</v>
      </c>
      <c r="E138" s="2">
        <v>67</v>
      </c>
      <c r="F138" s="2">
        <v>49</v>
      </c>
      <c r="G138" s="2">
        <v>56</v>
      </c>
      <c r="H138" s="2">
        <v>43</v>
      </c>
      <c r="I138" s="3">
        <f t="shared" si="6"/>
        <v>288</v>
      </c>
      <c r="J138" s="3">
        <v>500</v>
      </c>
      <c r="K138" s="4">
        <f t="shared" si="7"/>
        <v>0.57599999999999996</v>
      </c>
      <c r="L138" s="24">
        <f t="shared" si="8"/>
        <v>0.42400000000000004</v>
      </c>
    </row>
    <row r="139" spans="1:12">
      <c r="A139" s="23" t="s">
        <v>294</v>
      </c>
      <c r="B139" s="1" t="s">
        <v>295</v>
      </c>
      <c r="C139" s="1" t="s">
        <v>17</v>
      </c>
      <c r="D139" s="2">
        <v>72</v>
      </c>
      <c r="E139" s="2">
        <v>49</v>
      </c>
      <c r="F139" s="2">
        <v>93</v>
      </c>
      <c r="G139" s="2">
        <v>95</v>
      </c>
      <c r="H139" s="2">
        <v>73</v>
      </c>
      <c r="I139" s="3">
        <f t="shared" si="6"/>
        <v>382</v>
      </c>
      <c r="J139" s="3">
        <v>500</v>
      </c>
      <c r="K139" s="4">
        <f t="shared" si="7"/>
        <v>0.76400000000000001</v>
      </c>
      <c r="L139" s="24">
        <f t="shared" si="8"/>
        <v>0.23599999999999999</v>
      </c>
    </row>
    <row r="140" spans="1:12">
      <c r="A140" s="23" t="s">
        <v>296</v>
      </c>
      <c r="B140" s="1" t="s">
        <v>297</v>
      </c>
      <c r="C140" s="1" t="s">
        <v>20</v>
      </c>
      <c r="D140" s="2">
        <v>85</v>
      </c>
      <c r="E140" s="2">
        <v>43</v>
      </c>
      <c r="F140" s="2">
        <v>74</v>
      </c>
      <c r="G140" s="2">
        <v>26</v>
      </c>
      <c r="H140" s="2">
        <v>88</v>
      </c>
      <c r="I140" s="3">
        <f t="shared" si="6"/>
        <v>316</v>
      </c>
      <c r="J140" s="3">
        <v>500</v>
      </c>
      <c r="K140" s="4">
        <f t="shared" si="7"/>
        <v>0.63200000000000001</v>
      </c>
      <c r="L140" s="24">
        <f t="shared" si="8"/>
        <v>0.36799999999999999</v>
      </c>
    </row>
    <row r="141" spans="1:12">
      <c r="A141" s="23" t="s">
        <v>298</v>
      </c>
      <c r="B141" s="1" t="s">
        <v>299</v>
      </c>
      <c r="C141" s="1" t="s">
        <v>23</v>
      </c>
      <c r="D141" s="2">
        <v>77</v>
      </c>
      <c r="E141" s="2">
        <v>81</v>
      </c>
      <c r="F141" s="2">
        <v>10</v>
      </c>
      <c r="G141" s="2">
        <v>65</v>
      </c>
      <c r="H141" s="2">
        <v>83</v>
      </c>
      <c r="I141" s="3">
        <f t="shared" si="6"/>
        <v>316</v>
      </c>
      <c r="J141" s="3">
        <v>500</v>
      </c>
      <c r="K141" s="4">
        <f t="shared" si="7"/>
        <v>0.63200000000000001</v>
      </c>
      <c r="L141" s="24">
        <f t="shared" si="8"/>
        <v>0.36799999999999999</v>
      </c>
    </row>
    <row r="142" spans="1:12">
      <c r="A142" s="28" t="s">
        <v>300</v>
      </c>
      <c r="B142" s="29" t="s">
        <v>301</v>
      </c>
      <c r="C142" s="29" t="s">
        <v>26</v>
      </c>
      <c r="D142" s="30">
        <v>46</v>
      </c>
      <c r="E142" s="30">
        <v>52</v>
      </c>
      <c r="F142" s="30">
        <v>57</v>
      </c>
      <c r="G142" s="30">
        <v>67</v>
      </c>
      <c r="H142" s="30">
        <v>64</v>
      </c>
      <c r="I142" s="31">
        <f t="shared" si="6"/>
        <v>286</v>
      </c>
      <c r="J142" s="31">
        <v>500</v>
      </c>
      <c r="K142" s="32">
        <f t="shared" si="7"/>
        <v>0.57199999999999995</v>
      </c>
      <c r="L142" s="33">
        <f t="shared" si="8"/>
        <v>0.42800000000000005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D6809-0928-4EB0-8E72-6A576400B0C4}">
  <sheetPr codeName="Sheet1"/>
  <dimension ref="A1:M25"/>
  <sheetViews>
    <sheetView zoomScale="135" zoomScaleNormal="135" workbookViewId="0">
      <selection activeCell="I6" sqref="I6:J6"/>
    </sheetView>
  </sheetViews>
  <sheetFormatPr baseColWidth="10" defaultColWidth="9.1640625" defaultRowHeight="15"/>
  <cols>
    <col min="1" max="1" width="19" style="44" bestFit="1" customWidth="1"/>
    <col min="2" max="2" width="9.5" style="44" bestFit="1" customWidth="1"/>
    <col min="3" max="3" width="10.6640625" style="44" bestFit="1" customWidth="1"/>
    <col min="4" max="4" width="0.83203125" style="44" customWidth="1"/>
    <col min="5" max="5" width="19" style="44" bestFit="1" customWidth="1"/>
    <col min="6" max="6" width="9.5" style="44" bestFit="1" customWidth="1"/>
    <col min="7" max="7" width="17" style="44" bestFit="1" customWidth="1"/>
    <col min="8" max="8" width="0.83203125" style="44" customWidth="1"/>
    <col min="9" max="9" width="20.6640625" style="44" customWidth="1"/>
    <col min="10" max="10" width="24.5" style="44" bestFit="1" customWidth="1"/>
    <col min="11" max="11" width="0.6640625" style="44" customWidth="1"/>
    <col min="12" max="12" width="18.33203125" style="44" customWidth="1"/>
    <col min="13" max="13" width="21.83203125" style="44" customWidth="1"/>
    <col min="14" max="18" width="9.1640625" style="44"/>
    <col min="19" max="19" width="6.1640625" style="44" customWidth="1"/>
    <col min="20" max="16384" width="9.1640625" style="44"/>
  </cols>
  <sheetData>
    <row r="1" spans="1:13" ht="35" customHeight="1">
      <c r="A1" s="43" t="s">
        <v>303</v>
      </c>
      <c r="B1" s="43"/>
      <c r="C1" s="43"/>
      <c r="D1" s="43"/>
      <c r="E1" s="43"/>
      <c r="F1" s="43"/>
      <c r="G1" s="43"/>
      <c r="H1" s="43"/>
      <c r="I1" s="43"/>
      <c r="J1" s="43"/>
      <c r="K1" s="43"/>
      <c r="L1" s="43"/>
      <c r="M1" s="43"/>
    </row>
    <row r="2" spans="1:13" ht="46" customHeight="1">
      <c r="A2" s="45"/>
      <c r="B2" s="45"/>
      <c r="C2" s="45"/>
      <c r="D2" s="45"/>
      <c r="E2" s="45"/>
      <c r="F2" s="45"/>
      <c r="G2" s="45"/>
      <c r="H2" s="45"/>
      <c r="I2" s="45"/>
      <c r="J2" s="45"/>
      <c r="K2" s="45"/>
      <c r="L2" s="45"/>
      <c r="M2" s="45"/>
    </row>
    <row r="3" spans="1:13" ht="10" customHeight="1">
      <c r="A3" s="48" t="b">
        <v>1</v>
      </c>
      <c r="B3" s="48"/>
      <c r="C3" s="48"/>
      <c r="D3" s="48"/>
      <c r="E3" s="48" t="b">
        <v>1</v>
      </c>
      <c r="F3" s="48"/>
      <c r="G3" s="48"/>
      <c r="H3" s="48"/>
      <c r="I3" s="48" t="b">
        <v>1</v>
      </c>
      <c r="J3" s="48"/>
      <c r="K3" s="48"/>
      <c r="L3" s="48" t="b">
        <v>1</v>
      </c>
    </row>
    <row r="4" spans="1:13" ht="35" customHeight="1"/>
    <row r="5" spans="1:13" ht="16">
      <c r="A5" s="10" t="s">
        <v>1</v>
      </c>
      <c r="B5" s="20" t="s">
        <v>302</v>
      </c>
      <c r="C5" s="20" t="s">
        <v>304</v>
      </c>
      <c r="D5" s="46"/>
      <c r="E5" s="12" t="s">
        <v>1</v>
      </c>
      <c r="F5" s="11" t="s">
        <v>302</v>
      </c>
      <c r="G5" s="11" t="s">
        <v>305</v>
      </c>
      <c r="H5" s="46"/>
      <c r="I5" s="22" t="s">
        <v>307</v>
      </c>
      <c r="J5" s="22" t="s">
        <v>306</v>
      </c>
      <c r="L5" s="13" t="s">
        <v>2</v>
      </c>
      <c r="M5" s="8" t="s">
        <v>310</v>
      </c>
    </row>
    <row r="6" spans="1:13">
      <c r="A6" s="21" t="s">
        <v>243</v>
      </c>
      <c r="B6" s="16">
        <v>389</v>
      </c>
      <c r="C6" s="17">
        <v>0.77800000000000002</v>
      </c>
      <c r="D6" s="47"/>
      <c r="E6" s="13" t="s">
        <v>275</v>
      </c>
      <c r="F6" s="14">
        <v>183</v>
      </c>
      <c r="G6" s="6">
        <v>0.63400000000000001</v>
      </c>
      <c r="H6" s="47"/>
      <c r="I6" s="59">
        <v>4512</v>
      </c>
      <c r="J6" s="59">
        <v>8500</v>
      </c>
      <c r="L6" s="42" t="s">
        <v>35</v>
      </c>
      <c r="M6" s="14">
        <v>17</v>
      </c>
    </row>
    <row r="7" spans="1:13">
      <c r="A7" s="7" t="s">
        <v>147</v>
      </c>
      <c r="B7" s="16">
        <v>385</v>
      </c>
      <c r="C7" s="17">
        <v>0.77</v>
      </c>
      <c r="D7" s="47"/>
      <c r="E7" s="13" t="s">
        <v>163</v>
      </c>
      <c r="F7" s="14">
        <v>208</v>
      </c>
      <c r="G7" s="6">
        <v>0.58400000000000007</v>
      </c>
      <c r="H7" s="47"/>
    </row>
    <row r="8" spans="1:13" ht="16" thickBot="1">
      <c r="A8" s="15" t="s">
        <v>179</v>
      </c>
      <c r="B8" s="16">
        <v>317</v>
      </c>
      <c r="C8" s="17">
        <v>0.63400000000000001</v>
      </c>
      <c r="D8" s="47"/>
      <c r="E8" s="13" t="s">
        <v>131</v>
      </c>
      <c r="F8" s="14">
        <v>192</v>
      </c>
      <c r="G8" s="6">
        <v>0.61599999999999999</v>
      </c>
      <c r="H8" s="47"/>
      <c r="I8" s="48" t="s">
        <v>308</v>
      </c>
      <c r="J8" s="48">
        <f>$I$6</f>
        <v>4512</v>
      </c>
    </row>
    <row r="9" spans="1:13">
      <c r="A9" s="15" t="s">
        <v>259</v>
      </c>
      <c r="B9" s="16">
        <v>316</v>
      </c>
      <c r="C9" s="17">
        <v>0.63200000000000001</v>
      </c>
      <c r="D9" s="47"/>
      <c r="E9" s="13" t="s">
        <v>67</v>
      </c>
      <c r="F9" s="14">
        <v>183</v>
      </c>
      <c r="G9" s="6">
        <v>0.63400000000000001</v>
      </c>
      <c r="H9" s="47"/>
      <c r="I9" s="48" t="s">
        <v>309</v>
      </c>
      <c r="J9" s="48">
        <f>$J$6-$I$6</f>
        <v>3988</v>
      </c>
      <c r="L9" s="38" t="s">
        <v>311</v>
      </c>
      <c r="M9" s="39"/>
    </row>
    <row r="10" spans="1:13">
      <c r="A10" s="18" t="s">
        <v>291</v>
      </c>
      <c r="B10" s="19">
        <v>316</v>
      </c>
      <c r="C10" s="9">
        <v>0.63200000000000001</v>
      </c>
      <c r="D10" s="47"/>
      <c r="E10" s="13" t="s">
        <v>51</v>
      </c>
      <c r="F10" s="14">
        <v>199</v>
      </c>
      <c r="G10" s="6">
        <v>0.60199999999999998</v>
      </c>
      <c r="H10" s="47"/>
      <c r="L10" s="40"/>
      <c r="M10" s="41"/>
    </row>
    <row r="11" spans="1:13">
      <c r="L11" s="34">
        <f>$M$6</f>
        <v>17</v>
      </c>
      <c r="M11" s="35"/>
    </row>
    <row r="12" spans="1:13" ht="16" thickBot="1">
      <c r="L12" s="36"/>
      <c r="M12" s="37"/>
    </row>
    <row r="13" spans="1:13" ht="16" thickBot="1"/>
    <row r="14" spans="1:13">
      <c r="L14" s="38" t="s">
        <v>312</v>
      </c>
      <c r="M14" s="39"/>
    </row>
    <row r="15" spans="1:13">
      <c r="L15" s="40"/>
      <c r="M15" s="41"/>
    </row>
    <row r="16" spans="1:13">
      <c r="L16" s="34" t="str">
        <f>ROUND($I$6/5,0)&amp;" Sales/Day"</f>
        <v>902 Sales/Day</v>
      </c>
      <c r="M16" s="35"/>
    </row>
    <row r="17" spans="12:13" ht="16" thickBot="1">
      <c r="L17" s="36"/>
      <c r="M17" s="37"/>
    </row>
    <row r="18" spans="12:13" ht="16" thickBot="1"/>
    <row r="19" spans="12:13">
      <c r="L19" s="38" t="s">
        <v>313</v>
      </c>
      <c r="M19" s="39"/>
    </row>
    <row r="20" spans="12:13" ht="16" thickBot="1">
      <c r="L20" s="49"/>
      <c r="M20" s="50"/>
    </row>
    <row r="21" spans="12:13" ht="15" customHeight="1">
      <c r="L21" s="51" t="str">
        <f>$A$6</f>
        <v>Jagdish Chandra</v>
      </c>
      <c r="M21" s="52"/>
    </row>
    <row r="22" spans="12:13" ht="15" customHeight="1">
      <c r="L22" s="53"/>
      <c r="M22" s="54"/>
    </row>
    <row r="23" spans="12:13">
      <c r="L23" s="53"/>
      <c r="M23" s="54"/>
    </row>
    <row r="24" spans="12:13">
      <c r="L24" s="55" t="str">
        <f>" Total Sales of "&amp;$B$6</f>
        <v xml:space="preserve"> Total Sales of 389</v>
      </c>
      <c r="M24" s="56"/>
    </row>
    <row r="25" spans="12:13" ht="16" thickBot="1">
      <c r="L25" s="57"/>
      <c r="M25" s="58"/>
    </row>
  </sheetData>
  <mergeCells count="9">
    <mergeCell ref="L16:M17"/>
    <mergeCell ref="L19:M20"/>
    <mergeCell ref="L21:M23"/>
    <mergeCell ref="L24:M25"/>
    <mergeCell ref="A2:M2"/>
    <mergeCell ref="A1:M1"/>
    <mergeCell ref="L9:M10"/>
    <mergeCell ref="L11:M12"/>
    <mergeCell ref="L14:M15"/>
  </mergeCell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nchor moveWithCells="1">
                  <from>
                    <xdr:col>0</xdr:col>
                    <xdr:colOff>584200</xdr:colOff>
                    <xdr:row>3</xdr:row>
                    <xdr:rowOff>88900</xdr:rowOff>
                  </from>
                  <to>
                    <xdr:col>1</xdr:col>
                    <xdr:colOff>660400</xdr:colOff>
                    <xdr:row>3</xdr:row>
                    <xdr:rowOff>292100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s">
                <anchor moveWithCells="1">
                  <from>
                    <xdr:col>4</xdr:col>
                    <xdr:colOff>584200</xdr:colOff>
                    <xdr:row>3</xdr:row>
                    <xdr:rowOff>101600</xdr:rowOff>
                  </from>
                  <to>
                    <xdr:col>5</xdr:col>
                    <xdr:colOff>711200</xdr:colOff>
                    <xdr:row>3</xdr:row>
                    <xdr:rowOff>292100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s">
                <anchor moveWithCells="1">
                  <from>
                    <xdr:col>8</xdr:col>
                    <xdr:colOff>914400</xdr:colOff>
                    <xdr:row>3</xdr:row>
                    <xdr:rowOff>101600</xdr:rowOff>
                  </from>
                  <to>
                    <xdr:col>9</xdr:col>
                    <xdr:colOff>863600</xdr:colOff>
                    <xdr:row>3</xdr:row>
                    <xdr:rowOff>292100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s">
                <anchor moveWithCells="1">
                  <from>
                    <xdr:col>11</xdr:col>
                    <xdr:colOff>1079500</xdr:colOff>
                    <xdr:row>3</xdr:row>
                    <xdr:rowOff>101600</xdr:rowOff>
                  </from>
                  <to>
                    <xdr:col>12</xdr:col>
                    <xdr:colOff>1193800</xdr:colOff>
                    <xdr:row>3</xdr:row>
                    <xdr:rowOff>292100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user</dc:creator>
  <cp:keywords/>
  <dc:description/>
  <cp:lastModifiedBy>Akshay Bisht</cp:lastModifiedBy>
  <cp:revision/>
  <dcterms:created xsi:type="dcterms:W3CDTF">2022-05-30T01:30:00Z</dcterms:created>
  <dcterms:modified xsi:type="dcterms:W3CDTF">2025-08-21T14:37:44Z</dcterms:modified>
  <cp:category/>
  <cp:contentStatus/>
</cp:coreProperties>
</file>